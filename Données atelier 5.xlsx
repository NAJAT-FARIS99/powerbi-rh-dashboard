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50\Desktop\Chaine youtube\Mes formations\power bi\- Formation EVM\Atelier 7\"/>
    </mc:Choice>
  </mc:AlternateContent>
  <xr:revisionPtr revIDLastSave="0" documentId="13_ncr:1_{438BF337-376A-41F1-8439-EDBA5707F95F}" xr6:coauthVersionLast="46" xr6:coauthVersionMax="47" xr10:uidLastSave="{00000000-0000-0000-0000-000000000000}"/>
  <bookViews>
    <workbookView xWindow="-108" yWindow="-108" windowWidth="23256" windowHeight="12576" firstSheet="1" activeTab="4" xr2:uid="{E13884A5-21C0-4201-95AF-D104D279643F}"/>
  </bookViews>
  <sheets>
    <sheet name="tableau de bord (2)" sheetId="9" state="hidden" r:id="rId1"/>
    <sheet name="Service" sheetId="10" r:id="rId2"/>
    <sheet name="Contrat" sheetId="11" r:id="rId3"/>
    <sheet name="Poste" sheetId="12" r:id="rId4"/>
    <sheet name="Personnel" sheetId="13" r:id="rId5"/>
  </sheets>
  <definedNames>
    <definedName name="_xlcn.WorksheetConnection_Classeur1.xlsxTableau1" hidden="1">T_Personnel</definedName>
    <definedName name="_xlcn.WorksheetConnection_Classeur1.xlsxTableau2" hidden="1">T_Service</definedName>
    <definedName name="_xlcn.WorksheetConnection_Classeur1.xlsxTableau3" hidden="1">T_Contrat</definedName>
    <definedName name="_xlcn.WorksheetConnection_Classeur1.xlsxTableau4" hidden="1">T_Poste</definedName>
    <definedName name="Segment_cadre___non_cadre">#N/A</definedName>
  </definedNames>
  <calcPr calcId="181029"/>
  <extLst>
    <ext xmlns:x14="http://schemas.microsoft.com/office/spreadsheetml/2009/9/main" uri="{876F7934-8845-4945-9796-88D515C7AA90}">
      <x14:pivotCaches>
        <pivotCache cacheId="0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4" name="T_Poste" connection="WorksheetConnection_Classeur1.xlsx!Tableau4"/>
          <x15:modelTable id="Tableau3" name="T_Contrat" connection="WorksheetConnection_Classeur1.xlsx!Tableau3"/>
          <x15:modelTable id="Tableau2" name="T_Service" connection="WorksheetConnection_Classeur1.xlsx!Tableau2"/>
          <x15:modelTable id="Tableau1" name="T_personnel" connection="WorksheetConnection_Classeur1.xlsx!Tableau1"/>
        </x15:modelTables>
        <x15:modelRelationships>
          <x15:modelRelationship fromTable="T_personnel" fromColumn="id_Contrat" toTable="T_Contrat" toColumn="id_Contrat"/>
          <x15:modelRelationship fromTable="T_personnel" fromColumn="id_poste" toTable="T_Poste" toColumn="id_poste"/>
          <x15:modelRelationship fromTable="T_personnel" fromColumn="id_service" toTable="T_Service" toColumn="id_service"/>
        </x15:modelRelationships>
      </x15:dataModel>
    </ext>
  </extLst>
</workbook>
</file>

<file path=xl/calcChain.xml><?xml version="1.0" encoding="utf-8"?>
<calcChain xmlns="http://schemas.openxmlformats.org/spreadsheetml/2006/main">
  <c r="L3" i="9" l="1"/>
  <c r="B3" i="9"/>
  <c r="H3" i="9"/>
  <c r="E3" i="9"/>
  <c r="K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649B1-FF1D-42FA-918C-5D706EFD5DD2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0B2B9F-19F3-4745-ADCF-E72623FAB296}" name="WorksheetConnection_Classeur1.xlsx!Tableau1" type="102" refreshedVersion="7" minRefreshableVersion="5">
    <extLst>
      <ext xmlns:x15="http://schemas.microsoft.com/office/spreadsheetml/2010/11/main" uri="{DE250136-89BD-433C-8126-D09CA5730AF9}">
        <x15:connection id="Tableau1">
          <x15:rangePr sourceName="_xlcn.WorksheetConnection_Classeur1.xlsxTableau1"/>
        </x15:connection>
      </ext>
    </extLst>
  </connection>
  <connection id="3" xr16:uid="{D43218CD-8D84-441A-A495-02B15A0C7610}" name="WorksheetConnection_Classeur1.xlsx!Tableau2" type="102" refreshedVersion="7" minRefreshableVersion="5">
    <extLst>
      <ext xmlns:x15="http://schemas.microsoft.com/office/spreadsheetml/2010/11/main" uri="{DE250136-89BD-433C-8126-D09CA5730AF9}">
        <x15:connection id="Tableau2">
          <x15:rangePr sourceName="_xlcn.WorksheetConnection_Classeur1.xlsxTableau2"/>
        </x15:connection>
      </ext>
    </extLst>
  </connection>
  <connection id="4" xr16:uid="{A617244D-8D33-432A-9176-5175EA1918AF}" name="WorksheetConnection_Classeur1.xlsx!Tableau3" type="102" refreshedVersion="7" minRefreshableVersion="5">
    <extLst>
      <ext xmlns:x15="http://schemas.microsoft.com/office/spreadsheetml/2010/11/main" uri="{DE250136-89BD-433C-8126-D09CA5730AF9}">
        <x15:connection id="Tableau3">
          <x15:rangePr sourceName="_xlcn.WorksheetConnection_Classeur1.xlsxTableau3"/>
        </x15:connection>
      </ext>
    </extLst>
  </connection>
  <connection id="5" xr16:uid="{F2EF408B-81C0-4450-A968-F0785A38F313}" name="WorksheetConnection_Classeur1.xlsx!Tableau4" type="102" refreshedVersion="7" minRefreshableVersion="5">
    <extLst>
      <ext xmlns:x15="http://schemas.microsoft.com/office/spreadsheetml/2010/11/main" uri="{DE250136-89BD-433C-8126-D09CA5730AF9}">
        <x15:connection id="Tableau4">
          <x15:rangePr sourceName="_xlcn.WorksheetConnection_Classeur1.xlsxTableau4"/>
        </x15:connection>
      </ext>
    </extLst>
  </connection>
</connections>
</file>

<file path=xl/sharedStrings.xml><?xml version="1.0" encoding="utf-8"?>
<sst xmlns="http://schemas.openxmlformats.org/spreadsheetml/2006/main" count="1601" uniqueCount="564">
  <si>
    <t>nombre d'employés</t>
  </si>
  <si>
    <t xml:space="preserve">âge moyen </t>
  </si>
  <si>
    <t>ancienneté moyenne</t>
  </si>
  <si>
    <t>% Femme / Homme</t>
  </si>
  <si>
    <t>Distribution des âges</t>
  </si>
  <si>
    <t>Répartition non cadres / cadres</t>
  </si>
  <si>
    <t>Type de contrat</t>
  </si>
  <si>
    <t>Pays</t>
  </si>
  <si>
    <t>Nom</t>
  </si>
  <si>
    <t>Site</t>
  </si>
  <si>
    <t>Région</t>
  </si>
  <si>
    <t>Paris</t>
  </si>
  <si>
    <t>Europe</t>
  </si>
  <si>
    <t>France</t>
  </si>
  <si>
    <t>Direction</t>
  </si>
  <si>
    <t>Afrique</t>
  </si>
  <si>
    <t>Marseille</t>
  </si>
  <si>
    <t>type</t>
  </si>
  <si>
    <t>CDI</t>
  </si>
  <si>
    <t>CDD</t>
  </si>
  <si>
    <t>Intérim</t>
  </si>
  <si>
    <t>cadre / non cadre</t>
  </si>
  <si>
    <t>Agent de fabrication</t>
  </si>
  <si>
    <t>non cadre</t>
  </si>
  <si>
    <t>Assistant ressource humaine</t>
  </si>
  <si>
    <t>Chariste</t>
  </si>
  <si>
    <t>Comptable</t>
  </si>
  <si>
    <t>Secrétaire</t>
  </si>
  <si>
    <t>Technicien</t>
  </si>
  <si>
    <t>Vendeurs</t>
  </si>
  <si>
    <t>Ingénieur</t>
  </si>
  <si>
    <t>cadre</t>
  </si>
  <si>
    <t>Directeur administratif et financier</t>
  </si>
  <si>
    <t>Directeur commercial</t>
  </si>
  <si>
    <t>Directeur général</t>
  </si>
  <si>
    <t>Directeur ressources humaine</t>
  </si>
  <si>
    <t>Chef comptable</t>
  </si>
  <si>
    <t>Chef logistique</t>
  </si>
  <si>
    <t>Chef secteur ventes</t>
  </si>
  <si>
    <t>Situation familiale</t>
  </si>
  <si>
    <t>Date de naissance</t>
  </si>
  <si>
    <t>ancienneté (années)</t>
  </si>
  <si>
    <t>1MA</t>
  </si>
  <si>
    <t>M</t>
  </si>
  <si>
    <t>Célibataire</t>
  </si>
  <si>
    <t>2MS</t>
  </si>
  <si>
    <t>Marié</t>
  </si>
  <si>
    <t>3SK</t>
  </si>
  <si>
    <t>4RP</t>
  </si>
  <si>
    <t>5DK</t>
  </si>
  <si>
    <t>6WP</t>
  </si>
  <si>
    <t>7CP</t>
  </si>
  <si>
    <t>8LM</t>
  </si>
  <si>
    <t>F</t>
  </si>
  <si>
    <t>9GJ</t>
  </si>
  <si>
    <t>10FA</t>
  </si>
  <si>
    <t>11CM</t>
  </si>
  <si>
    <t>12HJ</t>
  </si>
  <si>
    <t>13FD</t>
  </si>
  <si>
    <t>14RP</t>
  </si>
  <si>
    <t>15BR</t>
  </si>
  <si>
    <t>16BB</t>
  </si>
  <si>
    <t>17AM</t>
  </si>
  <si>
    <t>18MH</t>
  </si>
  <si>
    <t>19SJ</t>
  </si>
  <si>
    <t>20BA</t>
  </si>
  <si>
    <t>21RC</t>
  </si>
  <si>
    <t>22WJ</t>
  </si>
  <si>
    <t>23WA</t>
  </si>
  <si>
    <t>24WA</t>
  </si>
  <si>
    <t>25BJ</t>
  </si>
  <si>
    <t>26PH</t>
  </si>
  <si>
    <t>27HP</t>
  </si>
  <si>
    <t>28WP</t>
  </si>
  <si>
    <t>29CP</t>
  </si>
  <si>
    <t>30BN</t>
  </si>
  <si>
    <t>31LB</t>
  </si>
  <si>
    <t>32MW</t>
  </si>
  <si>
    <t>33HP</t>
  </si>
  <si>
    <t>34PR</t>
  </si>
  <si>
    <t>35BG</t>
  </si>
  <si>
    <t>36DS</t>
  </si>
  <si>
    <t>37RA</t>
  </si>
  <si>
    <t>38PR</t>
  </si>
  <si>
    <t>39JA</t>
  </si>
  <si>
    <t>40SA</t>
  </si>
  <si>
    <t>41GM</t>
  </si>
  <si>
    <t>42KC</t>
  </si>
  <si>
    <t>43TA</t>
  </si>
  <si>
    <t>44WC</t>
  </si>
  <si>
    <t>45RF</t>
  </si>
  <si>
    <t>46PR</t>
  </si>
  <si>
    <t>47BJ</t>
  </si>
  <si>
    <t>48WM</t>
  </si>
  <si>
    <t>49RJ</t>
  </si>
  <si>
    <t>50RP</t>
  </si>
  <si>
    <t>51MK</t>
  </si>
  <si>
    <t>52BR</t>
  </si>
  <si>
    <t>53SJ</t>
  </si>
  <si>
    <t>54BP</t>
  </si>
  <si>
    <t>55OB</t>
  </si>
  <si>
    <t>56HT</t>
  </si>
  <si>
    <t>57PA</t>
  </si>
  <si>
    <t>58WS</t>
  </si>
  <si>
    <t>59SN</t>
  </si>
  <si>
    <t>60WC</t>
  </si>
  <si>
    <t>61WA</t>
  </si>
  <si>
    <t>62WC</t>
  </si>
  <si>
    <t>63SM</t>
  </si>
  <si>
    <t>64MM</t>
  </si>
  <si>
    <t>65ME</t>
  </si>
  <si>
    <t>66DR</t>
  </si>
  <si>
    <t>67GN</t>
  </si>
  <si>
    <t>68FJ</t>
  </si>
  <si>
    <t>69HW</t>
  </si>
  <si>
    <t>70BH</t>
  </si>
  <si>
    <t>71RJ</t>
  </si>
  <si>
    <t>72BE</t>
  </si>
  <si>
    <t>73CK</t>
  </si>
  <si>
    <t>74RF</t>
  </si>
  <si>
    <t>75HR</t>
  </si>
  <si>
    <t>76BA</t>
  </si>
  <si>
    <t>77AC</t>
  </si>
  <si>
    <t>78WP</t>
  </si>
  <si>
    <t>79RR</t>
  </si>
  <si>
    <t>80RS</t>
  </si>
  <si>
    <t>81HW</t>
  </si>
  <si>
    <t>82BN</t>
  </si>
  <si>
    <t>83MM</t>
  </si>
  <si>
    <t>84RE</t>
  </si>
  <si>
    <t>85HJ</t>
  </si>
  <si>
    <t>86RJ</t>
  </si>
  <si>
    <t>87RH</t>
  </si>
  <si>
    <t>88RK</t>
  </si>
  <si>
    <t>89CV</t>
  </si>
  <si>
    <t>90CA</t>
  </si>
  <si>
    <t>91BE</t>
  </si>
  <si>
    <t>92RA</t>
  </si>
  <si>
    <t>93HR</t>
  </si>
  <si>
    <t>94BA</t>
  </si>
  <si>
    <t>95LM</t>
  </si>
  <si>
    <t>96RJ</t>
  </si>
  <si>
    <t>97BF</t>
  </si>
  <si>
    <t>98CJ</t>
  </si>
  <si>
    <t>99WS</t>
  </si>
  <si>
    <t>100SA</t>
  </si>
  <si>
    <t>101TA</t>
  </si>
  <si>
    <t>102KL</t>
  </si>
  <si>
    <t>103DB</t>
  </si>
  <si>
    <t>104AJ</t>
  </si>
  <si>
    <t>105RK</t>
  </si>
  <si>
    <t>106CE</t>
  </si>
  <si>
    <t>107CP</t>
  </si>
  <si>
    <t>108NA</t>
  </si>
  <si>
    <t>109SW</t>
  </si>
  <si>
    <t>110ME</t>
  </si>
  <si>
    <t>111JB</t>
  </si>
  <si>
    <t>112GT</t>
  </si>
  <si>
    <t>113SR</t>
  </si>
  <si>
    <t>114HB</t>
  </si>
  <si>
    <t>115BB</t>
  </si>
  <si>
    <t>116BF</t>
  </si>
  <si>
    <t>117NC</t>
  </si>
  <si>
    <t>118CN</t>
  </si>
  <si>
    <t>119HA</t>
  </si>
  <si>
    <t>120LJ</t>
  </si>
  <si>
    <t>121RS</t>
  </si>
  <si>
    <t>122ME</t>
  </si>
  <si>
    <t>123DA</t>
  </si>
  <si>
    <t>124MA</t>
  </si>
  <si>
    <t>125AR</t>
  </si>
  <si>
    <t>126HR</t>
  </si>
  <si>
    <t>127BA</t>
  </si>
  <si>
    <t>128AH</t>
  </si>
  <si>
    <t>129CA</t>
  </si>
  <si>
    <t>130ME</t>
  </si>
  <si>
    <t>131KS</t>
  </si>
  <si>
    <t>132OB</t>
  </si>
  <si>
    <t>133WS</t>
  </si>
  <si>
    <t>134PR</t>
  </si>
  <si>
    <t>135LJ</t>
  </si>
  <si>
    <t>136WJ</t>
  </si>
  <si>
    <t>137MW</t>
  </si>
  <si>
    <t>138BR</t>
  </si>
  <si>
    <t>139FJ</t>
  </si>
  <si>
    <t>140NC</t>
  </si>
  <si>
    <t>141MT</t>
  </si>
  <si>
    <t>142TA</t>
  </si>
  <si>
    <t>143CT</t>
  </si>
  <si>
    <t>144WS</t>
  </si>
  <si>
    <t>145OR</t>
  </si>
  <si>
    <t>146AC</t>
  </si>
  <si>
    <t>147RV</t>
  </si>
  <si>
    <t>148PG</t>
  </si>
  <si>
    <t>149WR</t>
  </si>
  <si>
    <t>150RF</t>
  </si>
  <si>
    <t>151BJ</t>
  </si>
  <si>
    <t>152BR</t>
  </si>
  <si>
    <t>153CH</t>
  </si>
  <si>
    <t>154PD</t>
  </si>
  <si>
    <t>155CJ</t>
  </si>
  <si>
    <t>156LV</t>
  </si>
  <si>
    <t>157MS</t>
  </si>
  <si>
    <t>158WD</t>
  </si>
  <si>
    <t>159DW</t>
  </si>
  <si>
    <t>160BB</t>
  </si>
  <si>
    <t>161HF</t>
  </si>
  <si>
    <t>162HJ</t>
  </si>
  <si>
    <t>163RB</t>
  </si>
  <si>
    <t>164SJ</t>
  </si>
  <si>
    <t>165PS</t>
  </si>
  <si>
    <t>166MJ</t>
  </si>
  <si>
    <t>167WB</t>
  </si>
  <si>
    <t>168OM</t>
  </si>
  <si>
    <t>169WL</t>
  </si>
  <si>
    <t>170CV</t>
  </si>
  <si>
    <t>171TL</t>
  </si>
  <si>
    <t>172BJ</t>
  </si>
  <si>
    <t>173MM</t>
  </si>
  <si>
    <t>174SR</t>
  </si>
  <si>
    <t>175KS</t>
  </si>
  <si>
    <t>176ER</t>
  </si>
  <si>
    <t>177RJ</t>
  </si>
  <si>
    <t>178SK</t>
  </si>
  <si>
    <t>179BJ</t>
  </si>
  <si>
    <t>180JR</t>
  </si>
  <si>
    <t>181NC</t>
  </si>
  <si>
    <t>182BR</t>
  </si>
  <si>
    <t>183BW</t>
  </si>
  <si>
    <t>184AR</t>
  </si>
  <si>
    <t>185SS</t>
  </si>
  <si>
    <t>186LA</t>
  </si>
  <si>
    <t>187BR</t>
  </si>
  <si>
    <t>188JW</t>
  </si>
  <si>
    <t>189BC</t>
  </si>
  <si>
    <t>190HA</t>
  </si>
  <si>
    <t>191HA</t>
  </si>
  <si>
    <t>192HP</t>
  </si>
  <si>
    <t>193HC</t>
  </si>
  <si>
    <t>194EJ</t>
  </si>
  <si>
    <t>195SK</t>
  </si>
  <si>
    <t>196CS</t>
  </si>
  <si>
    <t>197GV</t>
  </si>
  <si>
    <t>198TS</t>
  </si>
  <si>
    <t>199SJ</t>
  </si>
  <si>
    <t>200WD</t>
  </si>
  <si>
    <t>201RJ</t>
  </si>
  <si>
    <t>202CE</t>
  </si>
  <si>
    <t>203WR</t>
  </si>
  <si>
    <t>204KL</t>
  </si>
  <si>
    <t>205LV</t>
  </si>
  <si>
    <t>206CS</t>
  </si>
  <si>
    <t>207FR</t>
  </si>
  <si>
    <t>208WS</t>
  </si>
  <si>
    <t>209BB</t>
  </si>
  <si>
    <t>210OB</t>
  </si>
  <si>
    <t>211WD</t>
  </si>
  <si>
    <t>212HJ</t>
  </si>
  <si>
    <t>213PA</t>
  </si>
  <si>
    <t>214EM</t>
  </si>
  <si>
    <t>215ER</t>
  </si>
  <si>
    <t>216CC</t>
  </si>
  <si>
    <t>217YR</t>
  </si>
  <si>
    <t>218HR</t>
  </si>
  <si>
    <t>219SE</t>
  </si>
  <si>
    <t>220HJ</t>
  </si>
  <si>
    <t>221AJ</t>
  </si>
  <si>
    <t>222MW</t>
  </si>
  <si>
    <t>223MP</t>
  </si>
  <si>
    <t>224BP</t>
  </si>
  <si>
    <t>225RJ</t>
  </si>
  <si>
    <t>226MW</t>
  </si>
  <si>
    <t>227KD</t>
  </si>
  <si>
    <t>228HJ</t>
  </si>
  <si>
    <t>229AA</t>
  </si>
  <si>
    <t>230MM</t>
  </si>
  <si>
    <t>231RJ</t>
  </si>
  <si>
    <t>232FA</t>
  </si>
  <si>
    <t>233HP</t>
  </si>
  <si>
    <t>234AJ</t>
  </si>
  <si>
    <t>235BP</t>
  </si>
  <si>
    <t>236SS</t>
  </si>
  <si>
    <t>237GN</t>
  </si>
  <si>
    <t>238MV</t>
  </si>
  <si>
    <t>239HH</t>
  </si>
  <si>
    <t>240AG</t>
  </si>
  <si>
    <t>241HW</t>
  </si>
  <si>
    <t>242WB</t>
  </si>
  <si>
    <t>243BJ</t>
  </si>
  <si>
    <t>244MK</t>
  </si>
  <si>
    <t>245TA</t>
  </si>
  <si>
    <t>246RS</t>
  </si>
  <si>
    <t>247AK</t>
  </si>
  <si>
    <t>248JS</t>
  </si>
  <si>
    <t>249RF</t>
  </si>
  <si>
    <t>250WJ</t>
  </si>
  <si>
    <t>251LM</t>
  </si>
  <si>
    <t>252TM</t>
  </si>
  <si>
    <t>253LM</t>
  </si>
  <si>
    <t>254GP</t>
  </si>
  <si>
    <t>255SE</t>
  </si>
  <si>
    <t>256CA</t>
  </si>
  <si>
    <t>257dO</t>
  </si>
  <si>
    <t>258TR</t>
  </si>
  <si>
    <t>259RE</t>
  </si>
  <si>
    <t>260RS</t>
  </si>
  <si>
    <t>261HG</t>
  </si>
  <si>
    <t>262HB</t>
  </si>
  <si>
    <t>263RE</t>
  </si>
  <si>
    <t>264DD</t>
  </si>
  <si>
    <t>265CP</t>
  </si>
  <si>
    <t>266BP</t>
  </si>
  <si>
    <t>267WT</t>
  </si>
  <si>
    <t>268RM</t>
  </si>
  <si>
    <t>269PJ</t>
  </si>
  <si>
    <t>270AA</t>
  </si>
  <si>
    <t>271KB</t>
  </si>
  <si>
    <t>272PC</t>
  </si>
  <si>
    <t>273SM</t>
  </si>
  <si>
    <t>274CA</t>
  </si>
  <si>
    <t>275BP</t>
  </si>
  <si>
    <t>276WK</t>
  </si>
  <si>
    <t>277JC</t>
  </si>
  <si>
    <t>278BP</t>
  </si>
  <si>
    <t>279TM</t>
  </si>
  <si>
    <t>280KC</t>
  </si>
  <si>
    <t>281WK</t>
  </si>
  <si>
    <t>282SW</t>
  </si>
  <si>
    <t>283WS</t>
  </si>
  <si>
    <t>284GJ</t>
  </si>
  <si>
    <t>285CG</t>
  </si>
  <si>
    <t>286HJ</t>
  </si>
  <si>
    <t>287GF</t>
  </si>
  <si>
    <t>288LM</t>
  </si>
  <si>
    <t>289PS</t>
  </si>
  <si>
    <t>290MB</t>
  </si>
  <si>
    <t>291OM</t>
  </si>
  <si>
    <t>292RC</t>
  </si>
  <si>
    <t>293HA</t>
  </si>
  <si>
    <t>294PJ</t>
  </si>
  <si>
    <t>295JP</t>
  </si>
  <si>
    <t>296MK</t>
  </si>
  <si>
    <t>297CB</t>
  </si>
  <si>
    <t>298HT</t>
  </si>
  <si>
    <t>299PR</t>
  </si>
  <si>
    <t>300WL</t>
  </si>
  <si>
    <t>301FA</t>
  </si>
  <si>
    <t>302CJ</t>
  </si>
  <si>
    <t>303DS</t>
  </si>
  <si>
    <t>304KL</t>
  </si>
  <si>
    <t>305SN</t>
  </si>
  <si>
    <t>306BS</t>
  </si>
  <si>
    <t>307JK</t>
  </si>
  <si>
    <t>308JK</t>
  </si>
  <si>
    <t>309GN</t>
  </si>
  <si>
    <t>310AG</t>
  </si>
  <si>
    <t>311NB</t>
  </si>
  <si>
    <t>312BF</t>
  </si>
  <si>
    <t>313BE</t>
  </si>
  <si>
    <t>314DW</t>
  </si>
  <si>
    <t>315AC</t>
  </si>
  <si>
    <t>316RC</t>
  </si>
  <si>
    <t>317VB</t>
  </si>
  <si>
    <t>318BH</t>
  </si>
  <si>
    <t>319AS</t>
  </si>
  <si>
    <t>320AJ</t>
  </si>
  <si>
    <t>321HH</t>
  </si>
  <si>
    <t>322CA</t>
  </si>
  <si>
    <t>323HT</t>
  </si>
  <si>
    <t>324VB</t>
  </si>
  <si>
    <t>325TT</t>
  </si>
  <si>
    <t>326RC</t>
  </si>
  <si>
    <t>327WJ</t>
  </si>
  <si>
    <t>328CA</t>
  </si>
  <si>
    <t>329SG</t>
  </si>
  <si>
    <t>330RJ</t>
  </si>
  <si>
    <t>331FC</t>
  </si>
  <si>
    <t>332RF</t>
  </si>
  <si>
    <t>333BP</t>
  </si>
  <si>
    <t>334AR</t>
  </si>
  <si>
    <t>335MB</t>
  </si>
  <si>
    <t>336CR</t>
  </si>
  <si>
    <t>337GB</t>
  </si>
  <si>
    <t>338BM</t>
  </si>
  <si>
    <t>339KC</t>
  </si>
  <si>
    <t>340WC</t>
  </si>
  <si>
    <t>341PP</t>
  </si>
  <si>
    <t>342GJ</t>
  </si>
  <si>
    <t>343OF</t>
  </si>
  <si>
    <t>344GA</t>
  </si>
  <si>
    <t>345RT</t>
  </si>
  <si>
    <t>346HK</t>
  </si>
  <si>
    <t>347HJ</t>
  </si>
  <si>
    <t>348PT</t>
  </si>
  <si>
    <t>349NG</t>
  </si>
  <si>
    <t>350MJ</t>
  </si>
  <si>
    <t>351MH</t>
  </si>
  <si>
    <t>352RT</t>
  </si>
  <si>
    <t>353SC</t>
  </si>
  <si>
    <t>354DJ</t>
  </si>
  <si>
    <t>355AE</t>
  </si>
  <si>
    <t>356WR</t>
  </si>
  <si>
    <t>357GK</t>
  </si>
  <si>
    <t>358FE</t>
  </si>
  <si>
    <t>359MJ</t>
  </si>
  <si>
    <t>360CH</t>
  </si>
  <si>
    <t>361BJ</t>
  </si>
  <si>
    <t>362SS</t>
  </si>
  <si>
    <t>363GD</t>
  </si>
  <si>
    <t>364MB</t>
  </si>
  <si>
    <t>365MN</t>
  </si>
  <si>
    <t>366LP</t>
  </si>
  <si>
    <t>367AE</t>
  </si>
  <si>
    <t>368AJ</t>
  </si>
  <si>
    <t>369WR</t>
  </si>
  <si>
    <t>370HT</t>
  </si>
  <si>
    <t>371RR</t>
  </si>
  <si>
    <t>372MD</t>
  </si>
  <si>
    <t>373FJ</t>
  </si>
  <si>
    <t>374CM</t>
  </si>
  <si>
    <t>375CB</t>
  </si>
  <si>
    <t>376OE</t>
  </si>
  <si>
    <t>377HJ</t>
  </si>
  <si>
    <t>378OE</t>
  </si>
  <si>
    <t>379SJ</t>
  </si>
  <si>
    <t>380CP</t>
  </si>
  <si>
    <t>381OW</t>
  </si>
  <si>
    <t>382SA</t>
  </si>
  <si>
    <t>383RA</t>
  </si>
  <si>
    <t>384BP</t>
  </si>
  <si>
    <t>385BJ</t>
  </si>
  <si>
    <t>386WK</t>
  </si>
  <si>
    <t>387GA</t>
  </si>
  <si>
    <t>388BA</t>
  </si>
  <si>
    <t>389FS</t>
  </si>
  <si>
    <t>390AR</t>
  </si>
  <si>
    <t>391BF</t>
  </si>
  <si>
    <t>392PR</t>
  </si>
  <si>
    <t>393WB</t>
  </si>
  <si>
    <t>394JR</t>
  </si>
  <si>
    <t>395LJ</t>
  </si>
  <si>
    <t>396RF</t>
  </si>
  <si>
    <t>397PD</t>
  </si>
  <si>
    <t>398LT</t>
  </si>
  <si>
    <t>399SS</t>
  </si>
  <si>
    <t>400JS</t>
  </si>
  <si>
    <t>401GP</t>
  </si>
  <si>
    <t>402FC</t>
  </si>
  <si>
    <t>403SK</t>
  </si>
  <si>
    <t>404PS</t>
  </si>
  <si>
    <t>405BE</t>
  </si>
  <si>
    <t>406AH</t>
  </si>
  <si>
    <t>407TA</t>
  </si>
  <si>
    <t>408AE</t>
  </si>
  <si>
    <t>409HS</t>
  </si>
  <si>
    <t>410JA</t>
  </si>
  <si>
    <t>411WP</t>
  </si>
  <si>
    <t>412WJ</t>
  </si>
  <si>
    <t>413SG</t>
  </si>
  <si>
    <t>414DW</t>
  </si>
  <si>
    <t>415AJ</t>
  </si>
  <si>
    <t>416DT</t>
  </si>
  <si>
    <t>417LM</t>
  </si>
  <si>
    <t>418RM</t>
  </si>
  <si>
    <t>419BR</t>
  </si>
  <si>
    <t>420SW</t>
  </si>
  <si>
    <t>421RL</t>
  </si>
  <si>
    <t>422CC</t>
  </si>
  <si>
    <t>423RA</t>
  </si>
  <si>
    <t>424WG</t>
  </si>
  <si>
    <t>425TP</t>
  </si>
  <si>
    <t>426CP</t>
  </si>
  <si>
    <t>427FM</t>
  </si>
  <si>
    <t>428AR</t>
  </si>
  <si>
    <t>429AG</t>
  </si>
  <si>
    <t>430KC</t>
  </si>
  <si>
    <t>431WW</t>
  </si>
  <si>
    <t>432HG</t>
  </si>
  <si>
    <t>433PC</t>
  </si>
  <si>
    <t>434NC</t>
  </si>
  <si>
    <t>435SC</t>
  </si>
  <si>
    <t>436HS</t>
  </si>
  <si>
    <t>437RA</t>
  </si>
  <si>
    <t>438AC</t>
  </si>
  <si>
    <t>439JW</t>
  </si>
  <si>
    <t>440GE</t>
  </si>
  <si>
    <t>441SA</t>
  </si>
  <si>
    <t>442LH</t>
  </si>
  <si>
    <t>443OS</t>
  </si>
  <si>
    <t>444KE</t>
  </si>
  <si>
    <t>445KS</t>
  </si>
  <si>
    <t>446MV</t>
  </si>
  <si>
    <t>447SK</t>
  </si>
  <si>
    <t>448BE</t>
  </si>
  <si>
    <t>449RJ</t>
  </si>
  <si>
    <t>450HJ</t>
  </si>
  <si>
    <t>451FK</t>
  </si>
  <si>
    <t>452WN</t>
  </si>
  <si>
    <t>453SJ</t>
  </si>
  <si>
    <t>454RJ</t>
  </si>
  <si>
    <t>455RF</t>
  </si>
  <si>
    <t>456KS</t>
  </si>
  <si>
    <t>457BB</t>
  </si>
  <si>
    <t>458EP</t>
  </si>
  <si>
    <t>459RJ</t>
  </si>
  <si>
    <t>460RK</t>
  </si>
  <si>
    <t>461FW</t>
  </si>
  <si>
    <t>462CP</t>
  </si>
  <si>
    <t>463GA</t>
  </si>
  <si>
    <t>464WB</t>
  </si>
  <si>
    <t>465BS</t>
  </si>
  <si>
    <t>466CS</t>
  </si>
  <si>
    <t>467MM</t>
  </si>
  <si>
    <t>468HJ</t>
  </si>
  <si>
    <t>469CD</t>
  </si>
  <si>
    <t>470FJ</t>
  </si>
  <si>
    <t>471MB</t>
  </si>
  <si>
    <t>472WB</t>
  </si>
  <si>
    <t>473CJ</t>
  </si>
  <si>
    <t>474CP</t>
  </si>
  <si>
    <t>475RF</t>
  </si>
  <si>
    <t>476WP</t>
  </si>
  <si>
    <t>477GD</t>
  </si>
  <si>
    <t>478WF</t>
  </si>
  <si>
    <t>479HA</t>
  </si>
  <si>
    <t>480BR</t>
  </si>
  <si>
    <t>481FP</t>
  </si>
  <si>
    <t>482HP</t>
  </si>
  <si>
    <t>483JA</t>
  </si>
  <si>
    <t>484PR</t>
  </si>
  <si>
    <t>485GT</t>
  </si>
  <si>
    <t>486AJ</t>
  </si>
  <si>
    <t>487WL</t>
  </si>
  <si>
    <t>488GB</t>
  </si>
  <si>
    <t>489JF</t>
  </si>
  <si>
    <t>490EJ</t>
  </si>
  <si>
    <t>491SN</t>
  </si>
  <si>
    <t>492BJ</t>
  </si>
  <si>
    <t>493PT</t>
  </si>
  <si>
    <t>494KC</t>
  </si>
  <si>
    <t>495KR</t>
  </si>
  <si>
    <t>496CT</t>
  </si>
  <si>
    <t>497BR</t>
  </si>
  <si>
    <t>498NE</t>
  </si>
  <si>
    <t>499TA</t>
  </si>
  <si>
    <t>Salaire</t>
  </si>
  <si>
    <t>Marrakech</t>
  </si>
  <si>
    <t>Maroc</t>
  </si>
  <si>
    <t>Agadir</t>
  </si>
  <si>
    <t>Dakar</t>
  </si>
  <si>
    <t>Sénégal</t>
  </si>
  <si>
    <t>Tunisie</t>
  </si>
  <si>
    <t>Tunis</t>
  </si>
  <si>
    <t>Matricule</t>
  </si>
  <si>
    <t>Sexe</t>
  </si>
  <si>
    <t>ID Service</t>
  </si>
  <si>
    <t>ID Contrat</t>
  </si>
  <si>
    <t>ID Poste</t>
  </si>
  <si>
    <t>Titre de poste</t>
  </si>
  <si>
    <t>Production</t>
  </si>
  <si>
    <t>Logistique</t>
  </si>
  <si>
    <t>Vente</t>
  </si>
  <si>
    <t>RH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</si>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</sst>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1598E9"/>
      <name val="Calibri"/>
      <family val="2"/>
      <scheme val="minor"/>
    </font>
    <font>
      <b/>
      <sz val="18"/>
      <color rgb="FF08BDF6"/>
      <name val="Calibri"/>
      <family val="2"/>
      <scheme val="minor"/>
    </font>
    <font>
      <b/>
      <sz val="24"/>
      <color rgb="FF009999"/>
      <name val="Calibri"/>
      <family val="2"/>
      <scheme val="minor"/>
    </font>
    <font>
      <b/>
      <u/>
      <sz val="12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 tint="0.3499862666707357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7" fillId="2" borderId="0" xfId="0" applyFont="1" applyFill="1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8BDF6"/>
      <color rgb="FF1598E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Série1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cadre M</c:v>
              </c:pt>
              <c:pt idx="1">
                <c:v>cadre F</c:v>
              </c:pt>
              <c:pt idx="2">
                <c:v>non cadre M</c:v>
              </c:pt>
              <c:pt idx="3">
                <c:v>non cadre F</c:v>
              </c:pt>
            </c:strLit>
          </c:cat>
          <c:val>
            <c:numLit>
              <c:formatCode>General</c:formatCode>
              <c:ptCount val="4"/>
              <c:pt idx="0">
                <c:v>0.19839679358717435</c:v>
              </c:pt>
              <c:pt idx="1">
                <c:v>0.16232464929859719</c:v>
              </c:pt>
              <c:pt idx="2">
                <c:v>0.33667334669338678</c:v>
              </c:pt>
              <c:pt idx="3">
                <c:v>0.30260521042084171</c:v>
              </c:pt>
            </c:numLit>
          </c:val>
          <c:extLst>
            <c:ext xmlns:c16="http://schemas.microsoft.com/office/drawing/2014/chart" uri="{C3380CC4-5D6E-409C-BE32-E72D297353CC}">
              <c16:uniqueId val="{00000000-CDF2-4199-A0B3-AEAB963CC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915840"/>
        <c:axId val="187473808"/>
      </c:barChart>
      <c:catAx>
        <c:axId val="39691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73808"/>
        <c:crosses val="autoZero"/>
        <c:auto val="1"/>
        <c:lblAlgn val="ctr"/>
        <c:lblOffset val="100"/>
        <c:noMultiLvlLbl val="0"/>
      </c:catAx>
      <c:valAx>
        <c:axId val="1874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91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Série1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Intérim</c:v>
              </c:pt>
              <c:pt idx="1">
                <c:v>CDD</c:v>
              </c:pt>
              <c:pt idx="2">
                <c:v>CDI</c:v>
              </c:pt>
            </c:strLit>
          </c:cat>
          <c:val>
            <c:numLit>
              <c:formatCode>General</c:formatCode>
              <c:ptCount val="3"/>
              <c:pt idx="0">
                <c:v>0.10020040080160321</c:v>
              </c:pt>
              <c:pt idx="1">
                <c:v>0.11422845691382766</c:v>
              </c:pt>
              <c:pt idx="2">
                <c:v>0.78557114228456915</c:v>
              </c:pt>
            </c:numLit>
          </c:val>
          <c:extLst>
            <c:ext xmlns:c16="http://schemas.microsoft.com/office/drawing/2014/chart" uri="{C3380CC4-5D6E-409C-BE32-E72D297353CC}">
              <c16:uniqueId val="{00000000-820F-4888-9B59-A2CC393E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560608"/>
        <c:axId val="1483753296"/>
      </c:barChart>
      <c:catAx>
        <c:axId val="14356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3753296"/>
        <c:crosses val="autoZero"/>
        <c:auto val="1"/>
        <c:lblAlgn val="ctr"/>
        <c:lblOffset val="100"/>
        <c:noMultiLvlLbl val="0"/>
      </c:catAx>
      <c:valAx>
        <c:axId val="14837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56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Série1</c:v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Lit>
              <c:ptCount val="42"/>
              <c:pt idx="0">
                <c:v>19</c:v>
              </c:pt>
              <c:pt idx="1">
                <c:v>20</c:v>
              </c:pt>
              <c:pt idx="2">
                <c:v>21</c:v>
              </c:pt>
              <c:pt idx="3">
                <c:v>22</c:v>
              </c:pt>
              <c:pt idx="4">
                <c:v>23</c:v>
              </c:pt>
              <c:pt idx="5">
                <c:v>24</c:v>
              </c:pt>
              <c:pt idx="6">
                <c:v>25</c:v>
              </c:pt>
              <c:pt idx="7">
                <c:v>26</c:v>
              </c:pt>
              <c:pt idx="8">
                <c:v>27</c:v>
              </c:pt>
              <c:pt idx="9">
                <c:v>28</c:v>
              </c:pt>
              <c:pt idx="10">
                <c:v>29</c:v>
              </c:pt>
              <c:pt idx="11">
                <c:v>30</c:v>
              </c:pt>
              <c:pt idx="12">
                <c:v>31</c:v>
              </c:pt>
              <c:pt idx="13">
                <c:v>32</c:v>
              </c:pt>
              <c:pt idx="14">
                <c:v>33</c:v>
              </c:pt>
              <c:pt idx="15">
                <c:v>34</c:v>
              </c:pt>
              <c:pt idx="16">
                <c:v>35</c:v>
              </c:pt>
              <c:pt idx="17">
                <c:v>36</c:v>
              </c:pt>
              <c:pt idx="18">
                <c:v>37</c:v>
              </c:pt>
              <c:pt idx="19">
                <c:v>38</c:v>
              </c:pt>
              <c:pt idx="20">
                <c:v>39</c:v>
              </c:pt>
              <c:pt idx="21">
                <c:v>40</c:v>
              </c:pt>
              <c:pt idx="22">
                <c:v>41</c:v>
              </c:pt>
              <c:pt idx="23">
                <c:v>42</c:v>
              </c:pt>
              <c:pt idx="24">
                <c:v>43</c:v>
              </c:pt>
              <c:pt idx="25">
                <c:v>44</c:v>
              </c:pt>
              <c:pt idx="26">
                <c:v>45</c:v>
              </c:pt>
              <c:pt idx="27">
                <c:v>46</c:v>
              </c:pt>
              <c:pt idx="28">
                <c:v>47</c:v>
              </c:pt>
              <c:pt idx="29">
                <c:v>48</c:v>
              </c:pt>
              <c:pt idx="30">
                <c:v>49</c:v>
              </c:pt>
              <c:pt idx="31">
                <c:v>50</c:v>
              </c:pt>
              <c:pt idx="32">
                <c:v>51</c:v>
              </c:pt>
              <c:pt idx="33">
                <c:v>52</c:v>
              </c:pt>
              <c:pt idx="34">
                <c:v>53</c:v>
              </c:pt>
              <c:pt idx="35">
                <c:v>54</c:v>
              </c:pt>
              <c:pt idx="36">
                <c:v>55</c:v>
              </c:pt>
              <c:pt idx="37">
                <c:v>56</c:v>
              </c:pt>
              <c:pt idx="38">
                <c:v>57</c:v>
              </c:pt>
              <c:pt idx="39">
                <c:v>58</c:v>
              </c:pt>
              <c:pt idx="40">
                <c:v>59</c:v>
              </c:pt>
              <c:pt idx="41">
                <c:v>60</c:v>
              </c:pt>
            </c:strLit>
          </c:cat>
          <c:val>
            <c:numLit>
              <c:formatCode>General</c:formatCode>
              <c:ptCount val="42"/>
              <c:pt idx="0">
                <c:v>4</c:v>
              </c:pt>
              <c:pt idx="1">
                <c:v>12</c:v>
              </c:pt>
              <c:pt idx="2">
                <c:v>11</c:v>
              </c:pt>
              <c:pt idx="3">
                <c:v>10</c:v>
              </c:pt>
              <c:pt idx="4">
                <c:v>9</c:v>
              </c:pt>
              <c:pt idx="5">
                <c:v>12</c:v>
              </c:pt>
              <c:pt idx="6">
                <c:v>14</c:v>
              </c:pt>
              <c:pt idx="7">
                <c:v>13</c:v>
              </c:pt>
              <c:pt idx="8">
                <c:v>12</c:v>
              </c:pt>
              <c:pt idx="9">
                <c:v>7</c:v>
              </c:pt>
              <c:pt idx="10">
                <c:v>7</c:v>
              </c:pt>
              <c:pt idx="11">
                <c:v>13</c:v>
              </c:pt>
              <c:pt idx="12">
                <c:v>16</c:v>
              </c:pt>
              <c:pt idx="13">
                <c:v>18</c:v>
              </c:pt>
              <c:pt idx="14">
                <c:v>14</c:v>
              </c:pt>
              <c:pt idx="15">
                <c:v>18</c:v>
              </c:pt>
              <c:pt idx="16">
                <c:v>9</c:v>
              </c:pt>
              <c:pt idx="17">
                <c:v>19</c:v>
              </c:pt>
              <c:pt idx="18">
                <c:v>18</c:v>
              </c:pt>
              <c:pt idx="19">
                <c:v>12</c:v>
              </c:pt>
              <c:pt idx="20">
                <c:v>27</c:v>
              </c:pt>
              <c:pt idx="21">
                <c:v>20</c:v>
              </c:pt>
              <c:pt idx="22">
                <c:v>19</c:v>
              </c:pt>
              <c:pt idx="23">
                <c:v>13</c:v>
              </c:pt>
              <c:pt idx="24">
                <c:v>10</c:v>
              </c:pt>
              <c:pt idx="25">
                <c:v>13</c:v>
              </c:pt>
              <c:pt idx="26">
                <c:v>13</c:v>
              </c:pt>
              <c:pt idx="27">
                <c:v>5</c:v>
              </c:pt>
              <c:pt idx="28">
                <c:v>12</c:v>
              </c:pt>
              <c:pt idx="29">
                <c:v>8</c:v>
              </c:pt>
              <c:pt idx="30">
                <c:v>13</c:v>
              </c:pt>
              <c:pt idx="31">
                <c:v>14</c:v>
              </c:pt>
              <c:pt idx="32">
                <c:v>5</c:v>
              </c:pt>
              <c:pt idx="33">
                <c:v>7</c:v>
              </c:pt>
              <c:pt idx="34">
                <c:v>10</c:v>
              </c:pt>
              <c:pt idx="35">
                <c:v>14</c:v>
              </c:pt>
              <c:pt idx="36">
                <c:v>12</c:v>
              </c:pt>
              <c:pt idx="37">
                <c:v>7</c:v>
              </c:pt>
              <c:pt idx="38">
                <c:v>8</c:v>
              </c:pt>
              <c:pt idx="39">
                <c:v>10</c:v>
              </c:pt>
              <c:pt idx="40">
                <c:v>8</c:v>
              </c:pt>
              <c:pt idx="41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1AE-4F1A-BF99-642D4FEDE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70867200"/>
        <c:axId val="470857216"/>
      </c:barChart>
      <c:catAx>
        <c:axId val="4708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0857216"/>
        <c:crosses val="autoZero"/>
        <c:auto val="1"/>
        <c:lblAlgn val="ctr"/>
        <c:lblOffset val="100"/>
        <c:noMultiLvlLbl val="0"/>
      </c:catAx>
      <c:valAx>
        <c:axId val="47085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086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Série1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Suisse</c:v>
              </c:pt>
              <c:pt idx="1">
                <c:v>Togo</c:v>
              </c:pt>
              <c:pt idx="2">
                <c:v>France</c:v>
              </c:pt>
            </c:strLit>
          </c:cat>
          <c:val>
            <c:numLit>
              <c:formatCode>General</c:formatCode>
              <c:ptCount val="3"/>
              <c:pt idx="0">
                <c:v>36</c:v>
              </c:pt>
              <c:pt idx="1">
                <c:v>184</c:v>
              </c:pt>
              <c:pt idx="2">
                <c:v>279</c:v>
              </c:pt>
            </c:numLit>
          </c:val>
          <c:extLst>
            <c:ext xmlns:c16="http://schemas.microsoft.com/office/drawing/2014/chart" uri="{C3380CC4-5D6E-409C-BE32-E72D297353CC}">
              <c16:uniqueId val="{00000000-77FD-4701-B765-EA9EFDF62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837120"/>
        <c:axId val="1434835040"/>
      </c:barChart>
      <c:catAx>
        <c:axId val="143483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835040"/>
        <c:crosses val="autoZero"/>
        <c:auto val="1"/>
        <c:lblAlgn val="ctr"/>
        <c:lblOffset val="100"/>
        <c:noMultiLvlLbl val="0"/>
      </c:catAx>
      <c:valAx>
        <c:axId val="143483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8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379943</xdr:colOff>
      <xdr:row>27</xdr:row>
      <xdr:rowOff>142874</xdr:rowOff>
    </xdr:from>
    <xdr:to>
      <xdr:col>5</xdr:col>
      <xdr:colOff>475193</xdr:colOff>
      <xdr:row>40</xdr:row>
      <xdr:rowOff>47623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FB8545-C38A-4CE2-923A-B88CD3FA4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642411</xdr:colOff>
      <xdr:row>28</xdr:row>
      <xdr:rowOff>121709</xdr:rowOff>
    </xdr:from>
    <xdr:to>
      <xdr:col>10</xdr:col>
      <xdr:colOff>328086</xdr:colOff>
      <xdr:row>40</xdr:row>
      <xdr:rowOff>35984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919FCD-8602-4E5A-8425-57296D0EC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642937</xdr:colOff>
      <xdr:row>1</xdr:row>
      <xdr:rowOff>35718</xdr:rowOff>
    </xdr:from>
    <xdr:to>
      <xdr:col>16</xdr:col>
      <xdr:colOff>685800</xdr:colOff>
      <xdr:row>6</xdr:row>
      <xdr:rowOff>83343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dre / non cadre 1">
              <a:extLst>
                <a:ext uri="{FF2B5EF4-FFF2-40B4-BE49-F238E27FC236}">
                  <a16:creationId xmlns:a16="http://schemas.microsoft.com/office/drawing/2014/main" id="{DA71064A-E2F7-4DFA-867C-2DC3DC3A84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dre / non cad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9104" y="226218"/>
              <a:ext cx="1884363" cy="1010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123824</xdr:colOff>
      <xdr:row>10</xdr:row>
      <xdr:rowOff>0</xdr:rowOff>
    </xdr:from>
    <xdr:to>
      <xdr:col>17</xdr:col>
      <xdr:colOff>52917</xdr:colOff>
      <xdr:row>25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A7B78B-8880-49C6-8AEF-1CBDB108F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142875</xdr:colOff>
      <xdr:row>3</xdr:row>
      <xdr:rowOff>161926</xdr:rowOff>
    </xdr:from>
    <xdr:to>
      <xdr:col>11</xdr:col>
      <xdr:colOff>559815</xdr:colOff>
      <xdr:row>6</xdr:row>
      <xdr:rowOff>9526</xdr:rowOff>
    </xdr:to>
    <xdr:pic>
      <xdr:nvPicPr>
        <xdr:cNvPr id="6" name="Graphic 22" descr="Man">
          <a:extLst>
            <a:ext uri="{FF2B5EF4-FFF2-40B4-BE49-F238E27FC236}">
              <a16:creationId xmlns:a16="http://schemas.microsoft.com/office/drawing/2014/main" id="{ED1CE2A4-25F5-4D08-8250-4551A24D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210550" y="742951"/>
          <a:ext cx="416940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3</xdr:row>
      <xdr:rowOff>171451</xdr:rowOff>
    </xdr:from>
    <xdr:to>
      <xdr:col>10</xdr:col>
      <xdr:colOff>597865</xdr:colOff>
      <xdr:row>6</xdr:row>
      <xdr:rowOff>28575</xdr:rowOff>
    </xdr:to>
    <xdr:pic>
      <xdr:nvPicPr>
        <xdr:cNvPr id="7" name="Graphic 23" descr="Woman">
          <a:extLst>
            <a:ext uri="{FF2B5EF4-FFF2-40B4-BE49-F238E27FC236}">
              <a16:creationId xmlns:a16="http://schemas.microsoft.com/office/drawing/2014/main" id="{8A4AE0DB-06C8-4170-99F0-E9A7211A3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524750" y="752476"/>
          <a:ext cx="426415" cy="428624"/>
        </a:xfrm>
        <a:prstGeom prst="rect">
          <a:avLst/>
        </a:prstGeom>
      </xdr:spPr>
    </xdr:pic>
    <xdr:clientData/>
  </xdr:twoCellAnchor>
  <xdr:twoCellAnchor>
    <xdr:from>
      <xdr:col>11</xdr:col>
      <xdr:colOff>371475</xdr:colOff>
      <xdr:row>28</xdr:row>
      <xdr:rowOff>105833</xdr:rowOff>
    </xdr:from>
    <xdr:to>
      <xdr:col>17</xdr:col>
      <xdr:colOff>50801</xdr:colOff>
      <xdr:row>40</xdr:row>
      <xdr:rowOff>3174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E9A51A1-B1D7-4BBF-9DC4-641C52F25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oris" refreshedDate="44433.241146180553" backgroundQuery="1" createdVersion="3" refreshedVersion="7" minRefreshableVersion="3" recordCount="0" supportSubquery="1" supportAdvancedDrill="1" xr:uid="{425A178E-3F83-4806-BE16-ABA9112FE3D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1">
    <cacheHierarchy uniqueName="[T_Contrat].[id_Contrat]" caption="id_Contrat" attribute="1" defaultMemberUniqueName="[T_Contrat].[id_Contrat].[All]" allUniqueName="[T_Contrat].[id_Contrat].[All]" dimensionUniqueName="[T_Contrat]" displayFolder="" count="0" memberValueDatatype="20" unbalanced="0"/>
    <cacheHierarchy uniqueName="[T_Contrat].[type]" caption="type" attribute="1" defaultMemberUniqueName="[T_Contrat].[type].[All]" allUniqueName="[T_Contrat].[type].[All]" dimensionUniqueName="[T_Contrat]" displayFolder="" count="0" memberValueDatatype="130" unbalanced="0"/>
    <cacheHierarchy uniqueName="[T_personnel].[N° Matricule]" caption="N° Matricule" attribute="1" defaultMemberUniqueName="[T_personnel].[N° Matricule].[All]" allUniqueName="[T_personnel].[N° Matricule].[All]" dimensionUniqueName="[T_personnel]" displayFolder="" count="0" memberValueDatatype="130" unbalanced="0"/>
    <cacheHierarchy uniqueName="[T_personnel].[Nom]" caption="Nom" attribute="1" defaultMemberUniqueName="[T_personnel].[Nom].[All]" allUniqueName="[T_personnel].[Nom].[All]" dimensionUniqueName="[T_personnel]" displayFolder="" count="0" memberValueDatatype="130" unbalanced="0"/>
    <cacheHierarchy uniqueName="[T_personnel].[Prénom]" caption="Prénom" attribute="1" defaultMemberUniqueName="[T_personnel].[Prénom].[All]" allUniqueName="[T_personnel].[Prénom].[All]" dimensionUniqueName="[T_personnel]" displayFolder="" count="0" memberValueDatatype="130" unbalanced="0"/>
    <cacheHierarchy uniqueName="[T_personnel].[sexe]" caption="sexe" attribute="1" defaultMemberUniqueName="[T_personnel].[sexe].[All]" allUniqueName="[T_personnel].[sexe].[All]" dimensionUniqueName="[T_personnel]" displayFolder="" count="0" memberValueDatatype="130" unbalanced="0"/>
    <cacheHierarchy uniqueName="[T_personnel].[Situation familiale]" caption="Situation familiale" attribute="1" defaultMemberUniqueName="[T_personnel].[Situation familiale].[All]" allUniqueName="[T_personnel].[Situation familiale].[All]" dimensionUniqueName="[T_personnel]" displayFolder="" count="0" memberValueDatatype="130" unbalanced="0"/>
    <cacheHierarchy uniqueName="[T_personnel].[Date de naissance]" caption="Date de naissance" attribute="1" time="1" defaultMemberUniqueName="[T_personnel].[Date de naissance].[All]" allUniqueName="[T_personnel].[Date de naissance].[All]" dimensionUniqueName="[T_personnel]" displayFolder="" count="0" memberValueDatatype="7" unbalanced="0"/>
    <cacheHierarchy uniqueName="[T_personnel].[Age]" caption="Age" attribute="1" defaultMemberUniqueName="[T_personnel].[Age].[All]" allUniqueName="[T_personnel].[Age].[All]" dimensionUniqueName="[T_personnel]" displayFolder="" count="0" memberValueDatatype="20" unbalanced="0"/>
    <cacheHierarchy uniqueName="[T_personnel].[ancienneté (années)]" caption="ancienneté (années)" attribute="1" defaultMemberUniqueName="[T_personnel].[ancienneté (années)].[All]" allUniqueName="[T_personnel].[ancienneté (années)].[All]" dimensionUniqueName="[T_personnel]" displayFolder="" count="0" memberValueDatatype="20" unbalanced="0"/>
    <cacheHierarchy uniqueName="[T_personnel].[id_Contrat]" caption="id_Contrat" attribute="1" defaultMemberUniqueName="[T_personnel].[id_Contrat].[All]" allUniqueName="[T_personnel].[id_Contrat].[All]" dimensionUniqueName="[T_personnel]" displayFolder="" count="0" memberValueDatatype="20" unbalanced="0"/>
    <cacheHierarchy uniqueName="[T_personnel].[id_service]" caption="id_service" attribute="1" defaultMemberUniqueName="[T_personnel].[id_service].[All]" allUniqueName="[T_personnel].[id_service].[All]" dimensionUniqueName="[T_personnel]" displayFolder="" count="0" memberValueDatatype="20" unbalanced="0"/>
    <cacheHierarchy uniqueName="[T_personnel].[id_poste]" caption="id_poste" attribute="1" defaultMemberUniqueName="[T_personnel].[id_poste].[All]" allUniqueName="[T_personnel].[id_poste].[All]" dimensionUniqueName="[T_personnel]" displayFolder="" count="0" memberValueDatatype="20" unbalanced="0"/>
    <cacheHierarchy uniqueName="[T_Poste].[id_poste]" caption="id_poste" attribute="1" defaultMemberUniqueName="[T_Poste].[id_poste].[All]" allUniqueName="[T_Poste].[id_poste].[All]" dimensionUniqueName="[T_Poste]" displayFolder="" count="0" memberValueDatatype="20" unbalanced="0"/>
    <cacheHierarchy uniqueName="[T_Poste].[titre de poste]" caption="titre de poste" attribute="1" defaultMemberUniqueName="[T_Poste].[titre de poste].[All]" allUniqueName="[T_Poste].[titre de poste].[All]" dimensionUniqueName="[T_Poste]" displayFolder="" count="2" memberValueDatatype="130" unbalanced="0"/>
    <cacheHierarchy uniqueName="[T_Poste].[cadre / non cadre]" caption="cadre / non cadre" attribute="1" defaultMemberUniqueName="[T_Poste].[cadre / non cadre].[All]" allUniqueName="[T_Poste].[cadre / non cadre].[All]" dimensionUniqueName="[T_Poste]" displayFolder="" count="2" memberValueDatatype="130" unbalanced="0"/>
    <cacheHierarchy uniqueName="[T_Service].[id_service]" caption="id_service" attribute="1" defaultMemberUniqueName="[T_Service].[id_service].[All]" allUniqueName="[T_Service].[id_service].[All]" dimensionUniqueName="[T_Service]" displayFolder="" count="0" memberValueDatatype="20" unbalanced="0"/>
    <cacheHierarchy uniqueName="[T_Service].[Nom]" caption="Nom" attribute="1" defaultMemberUniqueName="[T_Service].[Nom].[All]" allUniqueName="[T_Service].[Nom].[All]" dimensionUniqueName="[T_Service]" displayFolder="" count="0" memberValueDatatype="130" unbalanced="0"/>
    <cacheHierarchy uniqueName="[T_Service].[Site]" caption="Site" attribute="1" defaultMemberUniqueName="[T_Service].[Site].[All]" allUniqueName="[T_Service].[Site].[All]" dimensionUniqueName="[T_Service]" displayFolder="" count="2" memberValueDatatype="130" unbalanced="0"/>
    <cacheHierarchy uniqueName="[T_Service].[Région]" caption="Région" attribute="1" defaultMemberUniqueName="[T_Service].[Région].[All]" allUniqueName="[T_Service].[Région].[All]" dimensionUniqueName="[T_Service]" displayFolder="" count="0" memberValueDatatype="130" unbalanced="0"/>
    <cacheHierarchy uniqueName="[T_Service].[Pays]" caption="Pays" attribute="1" defaultMemberUniqueName="[T_Service].[Pays].[All]" allUniqueName="[T_Service].[Pays].[All]" dimensionUniqueName="[T_Service]" displayFolder="" count="0" memberValueDatatype="130" unbalanced="0"/>
    <cacheHierarchy uniqueName="[Measures].[__XL_Count Tableau2]" caption="__XL_Count Tableau2" measure="1" displayFolder="" measureGroup="T_Service" count="0" hidden="1"/>
    <cacheHierarchy uniqueName="[Measures].[__XL_Count Tableau4]" caption="__XL_Count Tableau4" measure="1" displayFolder="" measureGroup="T_Poste" count="0" hidden="1"/>
    <cacheHierarchy uniqueName="[Measures].[__XL_Count Tableau3]" caption="__XL_Count Tableau3" measure="1" displayFolder="" measureGroup="T_Contrat" count="0" hidden="1"/>
    <cacheHierarchy uniqueName="[Measures].[__XL_Count Tableau1]" caption="__XL_Count Tableau1" measure="1" displayFolder="" measureGroup="T_personnel" count="0" hidden="1"/>
    <cacheHierarchy uniqueName="[Measures].[__Aucune mesure définie]" caption="__Aucune mesure définie" measure="1" displayFolder="" count="0" hidden="1"/>
    <cacheHierarchy uniqueName="[Measures].[Nombre de N° Matricule]" caption="Nombre de N° Matricule" measure="1" displayFolder="" measureGroup="T_personne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Age]" caption="Somme de Age" measure="1" displayFolder="" measureGroup="T_personne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oyenne de Age]" caption="Moyenne de Age" measure="1" displayFolder="" measureGroup="T_personne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ancienneté (années)]" caption="Somme de ancienneté (années)" measure="1" displayFolder="" measureGroup="T_personne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oyenne de ancienneté (années)]" caption="Moyenne de ancienneté (années)" measure="1" displayFolder="" measureGroup="T_personne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21900436" supportSubqueryNonVisual="1" supportSubqueryCalcMem="1" supportAddCalcMems="1"/>
    </ext>
  </extLst>
</pivotCach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dre___non_cadre" xr10:uid="{919D1225-646E-491F-8D31-B150B12F4015}" sourceName="[T_Poste].[cadre / non cadre]">
  <data>
    <olap pivotCacheId="2121900436">
      <levels count="2">
        <level uniqueName="[T_Poste].[cadre / non cadre].[(All)]" sourceCaption="(All)" count="0"/>
        <level uniqueName="[T_Poste].[cadre / non cadre].[cadre / non cadre]" sourceCaption="cadre / non cadre" count="2">
          <ranges>
            <range startItem="0">
              <i n="[T_Poste].[cadre / non cadre].&amp;[cadre]" c="cadre"/>
              <i n="[T_Poste].[cadre / non cadre].&amp;[non cadre]" c="non cadre"/>
            </range>
          </ranges>
        </level>
      </levels>
      <selections count="1">
        <selection n="[T_Poste].[cadre / non cadr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dre / non cadre 1" xr10:uid="{336B0BEA-9444-40CD-A482-CCEDD1D29C7E}" cache="Segment_cadre___non_cadre" caption="cadre / non cadre" level="1" style="SlicerStyleOther2" rowHeight="24130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1C0B-8771-4F68-90D6-59247968D9F0}">
  <dimension ref="B2:Q27"/>
  <sheetViews>
    <sheetView showGridLines="0" zoomScale="90" zoomScaleNormal="90" workbookViewId="0">
      <selection activeCell="U11" sqref="U11"/>
    </sheetView>
  </sheetViews>
  <sheetFormatPr baseColWidth="10" defaultColWidth="11.44140625" defaultRowHeight="14.4" x14ac:dyDescent="0.3"/>
  <cols>
    <col min="1" max="1" width="4.33203125" customWidth="1"/>
    <col min="2" max="3" width="10.6640625" customWidth="1"/>
    <col min="4" max="4" width="14.44140625" customWidth="1"/>
    <col min="5" max="6" width="10.6640625" customWidth="1"/>
    <col min="7" max="7" width="13.6640625" customWidth="1"/>
    <col min="8" max="9" width="10.6640625" customWidth="1"/>
    <col min="10" max="10" width="13.5546875" customWidth="1"/>
    <col min="11" max="15" width="10.6640625" customWidth="1"/>
    <col min="16" max="16" width="6" customWidth="1"/>
  </cols>
  <sheetData>
    <row r="2" spans="2:17" ht="15.6" x14ac:dyDescent="0.3">
      <c r="B2" s="8" t="s">
        <v>0</v>
      </c>
      <c r="C2" s="8"/>
      <c r="D2" s="1"/>
      <c r="E2" s="8" t="s">
        <v>1</v>
      </c>
      <c r="F2" s="8"/>
      <c r="G2" s="1"/>
      <c r="H2" s="8" t="s">
        <v>2</v>
      </c>
      <c r="I2" s="8"/>
      <c r="J2" s="1"/>
      <c r="K2" s="8" t="s">
        <v>3</v>
      </c>
      <c r="L2" s="8"/>
      <c r="M2" s="2"/>
      <c r="N2" s="2"/>
      <c r="O2" s="2"/>
      <c r="P2" s="2"/>
      <c r="Q2" s="2"/>
    </row>
    <row r="3" spans="2:17" ht="15" customHeight="1" x14ac:dyDescent="0.3">
      <c r="B3" s="9" t="e">
        <f>GETPIVOTDATA("[Measures].[Nombre de N° Matricule]",#REF!)</f>
        <v>#REF!</v>
      </c>
      <c r="C3" s="9"/>
      <c r="D3" s="2"/>
      <c r="E3" s="10" t="e">
        <f>GETPIVOTDATA("[Measures].[Moyenne de Age]",#REF!)</f>
        <v>#REF!</v>
      </c>
      <c r="F3" s="10"/>
      <c r="G3" s="2"/>
      <c r="H3" s="10" t="e">
        <f>GETPIVOTDATA("[Measures].[Moyenne de ancienneté (années)]",#REF!)</f>
        <v>#REF!</v>
      </c>
      <c r="I3" s="10"/>
      <c r="J3" s="2"/>
      <c r="K3" s="11" t="e">
        <f>GETPIVOTDATA("[Measures].[Nombre de N° Matricule]",#REF!,"[T_personnel].[sexe]","[T_personnel].[sexe].&amp;[F]")</f>
        <v>#REF!</v>
      </c>
      <c r="L3" s="12" t="e">
        <f>GETPIVOTDATA("[Measures].[Nombre de N° Matricule]",#REF!,"[T_personnel].[sexe]","[T_personnel].[sexe].&amp;[M]")</f>
        <v>#REF!</v>
      </c>
      <c r="M3" s="2"/>
      <c r="N3" s="2"/>
      <c r="O3" s="2"/>
      <c r="P3" s="2"/>
      <c r="Q3" s="2"/>
    </row>
    <row r="4" spans="2:17" ht="15" customHeight="1" x14ac:dyDescent="0.3">
      <c r="B4" s="9"/>
      <c r="C4" s="9"/>
      <c r="D4" s="2"/>
      <c r="E4" s="10"/>
      <c r="F4" s="10"/>
      <c r="G4" s="2"/>
      <c r="H4" s="10"/>
      <c r="I4" s="10"/>
      <c r="J4" s="2"/>
      <c r="K4" s="11"/>
      <c r="L4" s="12"/>
      <c r="M4" s="2"/>
      <c r="N4" s="2"/>
      <c r="O4" s="2"/>
      <c r="P4" s="2"/>
      <c r="Q4" s="2"/>
    </row>
    <row r="5" spans="2:17" x14ac:dyDescent="0.3">
      <c r="B5" s="9"/>
      <c r="C5" s="9"/>
      <c r="D5" s="2"/>
      <c r="E5" s="10"/>
      <c r="F5" s="10"/>
      <c r="G5" s="2"/>
      <c r="H5" s="10"/>
      <c r="I5" s="10"/>
      <c r="J5" s="2"/>
      <c r="K5" s="2"/>
      <c r="L5" s="2"/>
      <c r="M5" s="2"/>
      <c r="N5" s="2"/>
      <c r="O5" s="2"/>
      <c r="P5" s="2"/>
      <c r="Q5" s="2"/>
    </row>
    <row r="6" spans="2:17" x14ac:dyDescent="0.3">
      <c r="B6" s="9"/>
      <c r="C6" s="9"/>
      <c r="D6" s="2"/>
      <c r="E6" s="10"/>
      <c r="F6" s="10"/>
      <c r="G6" s="2"/>
      <c r="H6" s="10"/>
      <c r="I6" s="10"/>
      <c r="J6" s="2"/>
      <c r="K6" s="2"/>
      <c r="L6" s="2"/>
      <c r="M6" s="2"/>
      <c r="N6" s="2"/>
      <c r="O6" s="2"/>
      <c r="P6" s="2"/>
      <c r="Q6" s="2"/>
    </row>
    <row r="7" spans="2:17" ht="15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9" spans="2:17" x14ac:dyDescent="0.3">
      <c r="B9" s="7" t="s">
        <v>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27" spans="2:16" x14ac:dyDescent="0.3">
      <c r="B27" s="7" t="s">
        <v>5</v>
      </c>
      <c r="C27" s="7"/>
      <c r="D27" s="7"/>
      <c r="E27" s="7"/>
      <c r="F27" s="7"/>
      <c r="H27" s="7" t="s">
        <v>6</v>
      </c>
      <c r="I27" s="7"/>
      <c r="J27" s="7"/>
      <c r="K27" s="4"/>
      <c r="L27" s="4"/>
      <c r="M27" s="7" t="s">
        <v>7</v>
      </c>
      <c r="N27" s="7"/>
      <c r="O27" s="7"/>
      <c r="P27" s="7"/>
    </row>
  </sheetData>
  <mergeCells count="13">
    <mergeCell ref="B9:Q9"/>
    <mergeCell ref="B27:F27"/>
    <mergeCell ref="H27:J27"/>
    <mergeCell ref="M27:P27"/>
    <mergeCell ref="B2:C2"/>
    <mergeCell ref="E2:F2"/>
    <mergeCell ref="H2:I2"/>
    <mergeCell ref="K2:L2"/>
    <mergeCell ref="B3:C6"/>
    <mergeCell ref="E3:F6"/>
    <mergeCell ref="H3:I6"/>
    <mergeCell ref="K3:K4"/>
    <mergeCell ref="L3:L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2640-1EED-449E-8687-BA581BCB539D}">
  <dimension ref="A1:E12"/>
  <sheetViews>
    <sheetView workbookViewId="0">
      <selection activeCell="B2" sqref="B2"/>
    </sheetView>
  </sheetViews>
  <sheetFormatPr baseColWidth="10" defaultRowHeight="14.4" x14ac:dyDescent="0.3"/>
  <cols>
    <col min="2" max="2" width="17.6640625" bestFit="1" customWidth="1"/>
  </cols>
  <sheetData>
    <row r="1" spans="1:5" x14ac:dyDescent="0.3">
      <c r="A1" t="s">
        <v>555</v>
      </c>
      <c r="B1" t="s">
        <v>8</v>
      </c>
      <c r="C1" t="s">
        <v>9</v>
      </c>
      <c r="D1" t="s">
        <v>10</v>
      </c>
      <c r="E1" t="s">
        <v>7</v>
      </c>
    </row>
    <row r="2" spans="1:5" x14ac:dyDescent="0.3">
      <c r="A2">
        <v>1</v>
      </c>
      <c r="B2" t="s">
        <v>14</v>
      </c>
      <c r="C2" t="s">
        <v>11</v>
      </c>
      <c r="D2" t="s">
        <v>12</v>
      </c>
      <c r="E2" t="s">
        <v>13</v>
      </c>
    </row>
    <row r="3" spans="1:5" x14ac:dyDescent="0.3">
      <c r="A3">
        <v>2</v>
      </c>
      <c r="B3" t="s">
        <v>563</v>
      </c>
      <c r="C3" t="s">
        <v>11</v>
      </c>
      <c r="D3" t="s">
        <v>12</v>
      </c>
      <c r="E3" t="s">
        <v>13</v>
      </c>
    </row>
    <row r="4" spans="1:5" x14ac:dyDescent="0.3">
      <c r="A4">
        <v>3</v>
      </c>
      <c r="B4" t="s">
        <v>559</v>
      </c>
      <c r="C4" t="s">
        <v>16</v>
      </c>
      <c r="D4" t="s">
        <v>12</v>
      </c>
      <c r="E4" t="s">
        <v>13</v>
      </c>
    </row>
    <row r="5" spans="1:5" x14ac:dyDescent="0.3">
      <c r="A5">
        <v>4</v>
      </c>
      <c r="B5" t="s">
        <v>559</v>
      </c>
      <c r="C5" t="s">
        <v>548</v>
      </c>
      <c r="D5" t="s">
        <v>15</v>
      </c>
      <c r="E5" t="s">
        <v>547</v>
      </c>
    </row>
    <row r="6" spans="1:5" x14ac:dyDescent="0.3">
      <c r="A6">
        <v>5</v>
      </c>
      <c r="B6" t="s">
        <v>562</v>
      </c>
      <c r="C6" t="s">
        <v>11</v>
      </c>
      <c r="D6" t="s">
        <v>12</v>
      </c>
      <c r="E6" t="s">
        <v>13</v>
      </c>
    </row>
    <row r="7" spans="1:5" x14ac:dyDescent="0.3">
      <c r="A7">
        <v>6</v>
      </c>
      <c r="B7" t="s">
        <v>560</v>
      </c>
      <c r="C7" t="s">
        <v>16</v>
      </c>
      <c r="D7" t="s">
        <v>12</v>
      </c>
      <c r="E7" t="s">
        <v>13</v>
      </c>
    </row>
    <row r="8" spans="1:5" x14ac:dyDescent="0.3">
      <c r="A8">
        <v>7</v>
      </c>
      <c r="B8" t="s">
        <v>560</v>
      </c>
      <c r="C8" t="s">
        <v>548</v>
      </c>
      <c r="D8" t="s">
        <v>15</v>
      </c>
      <c r="E8" t="s">
        <v>547</v>
      </c>
    </row>
    <row r="9" spans="1:5" x14ac:dyDescent="0.3">
      <c r="A9">
        <v>8</v>
      </c>
      <c r="B9" t="s">
        <v>561</v>
      </c>
      <c r="C9" t="s">
        <v>546</v>
      </c>
      <c r="D9" t="s">
        <v>15</v>
      </c>
      <c r="E9" t="s">
        <v>547</v>
      </c>
    </row>
    <row r="10" spans="1:5" x14ac:dyDescent="0.3">
      <c r="A10">
        <v>9</v>
      </c>
      <c r="B10" t="s">
        <v>561</v>
      </c>
      <c r="C10" t="s">
        <v>549</v>
      </c>
      <c r="D10" t="s">
        <v>15</v>
      </c>
      <c r="E10" t="s">
        <v>550</v>
      </c>
    </row>
    <row r="11" spans="1:5" x14ac:dyDescent="0.3">
      <c r="A11">
        <v>10</v>
      </c>
      <c r="B11" t="s">
        <v>561</v>
      </c>
      <c r="C11" t="s">
        <v>11</v>
      </c>
      <c r="D11" t="s">
        <v>12</v>
      </c>
      <c r="E11" t="s">
        <v>13</v>
      </c>
    </row>
    <row r="12" spans="1:5" x14ac:dyDescent="0.3">
      <c r="A12">
        <v>11</v>
      </c>
      <c r="B12" t="s">
        <v>561</v>
      </c>
      <c r="C12" t="s">
        <v>552</v>
      </c>
      <c r="D12" t="s">
        <v>15</v>
      </c>
      <c r="E12" t="s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64DE-2E6F-4251-91A0-1546EBB90465}">
  <dimension ref="A1:B4"/>
  <sheetViews>
    <sheetView workbookViewId="0">
      <selection activeCell="C29" sqref="C29"/>
    </sheetView>
  </sheetViews>
  <sheetFormatPr baseColWidth="10" defaultRowHeight="14.4" x14ac:dyDescent="0.3"/>
  <sheetData>
    <row r="1" spans="1:2" x14ac:dyDescent="0.3">
      <c r="A1" t="s">
        <v>556</v>
      </c>
      <c r="B1" t="s">
        <v>17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AE8B-08AE-4EEA-9B55-8EE31F3A15B1}">
  <dimension ref="A1:C16"/>
  <sheetViews>
    <sheetView workbookViewId="0">
      <selection activeCell="B2" sqref="B2"/>
    </sheetView>
  </sheetViews>
  <sheetFormatPr baseColWidth="10" defaultRowHeight="14.4" x14ac:dyDescent="0.3"/>
  <cols>
    <col min="2" max="2" width="29.33203125" bestFit="1" customWidth="1"/>
    <col min="3" max="3" width="15.33203125" bestFit="1" customWidth="1"/>
  </cols>
  <sheetData>
    <row r="1" spans="1:3" x14ac:dyDescent="0.3">
      <c r="A1" t="s">
        <v>557</v>
      </c>
      <c r="B1" t="s">
        <v>558</v>
      </c>
      <c r="C1" t="s">
        <v>21</v>
      </c>
    </row>
    <row r="2" spans="1:3" x14ac:dyDescent="0.3">
      <c r="A2">
        <v>1</v>
      </c>
      <c r="B2" t="s">
        <v>22</v>
      </c>
      <c r="C2" t="s">
        <v>23</v>
      </c>
    </row>
    <row r="3" spans="1:3" x14ac:dyDescent="0.3">
      <c r="A3">
        <v>2</v>
      </c>
      <c r="B3" t="s">
        <v>24</v>
      </c>
      <c r="C3" t="s">
        <v>23</v>
      </c>
    </row>
    <row r="4" spans="1:3" x14ac:dyDescent="0.3">
      <c r="A4">
        <v>3</v>
      </c>
      <c r="B4" t="s">
        <v>25</v>
      </c>
      <c r="C4" t="s">
        <v>23</v>
      </c>
    </row>
    <row r="5" spans="1:3" x14ac:dyDescent="0.3">
      <c r="A5">
        <v>4</v>
      </c>
      <c r="B5" t="s">
        <v>26</v>
      </c>
      <c r="C5" t="s">
        <v>23</v>
      </c>
    </row>
    <row r="6" spans="1:3" x14ac:dyDescent="0.3">
      <c r="A6">
        <v>5</v>
      </c>
      <c r="B6" t="s">
        <v>27</v>
      </c>
      <c r="C6" t="s">
        <v>23</v>
      </c>
    </row>
    <row r="7" spans="1:3" x14ac:dyDescent="0.3">
      <c r="A7">
        <v>6</v>
      </c>
      <c r="B7" t="s">
        <v>28</v>
      </c>
      <c r="C7" t="s">
        <v>23</v>
      </c>
    </row>
    <row r="8" spans="1:3" x14ac:dyDescent="0.3">
      <c r="A8">
        <v>7</v>
      </c>
      <c r="B8" t="s">
        <v>29</v>
      </c>
      <c r="C8" t="s">
        <v>23</v>
      </c>
    </row>
    <row r="9" spans="1:3" x14ac:dyDescent="0.3">
      <c r="A9">
        <v>8</v>
      </c>
      <c r="B9" t="s">
        <v>30</v>
      </c>
      <c r="C9" t="s">
        <v>31</v>
      </c>
    </row>
    <row r="10" spans="1:3" x14ac:dyDescent="0.3">
      <c r="A10">
        <v>9</v>
      </c>
      <c r="B10" t="s">
        <v>32</v>
      </c>
      <c r="C10" t="s">
        <v>31</v>
      </c>
    </row>
    <row r="11" spans="1:3" x14ac:dyDescent="0.3">
      <c r="A11">
        <v>10</v>
      </c>
      <c r="B11" t="s">
        <v>33</v>
      </c>
      <c r="C11" t="s">
        <v>31</v>
      </c>
    </row>
    <row r="12" spans="1:3" x14ac:dyDescent="0.3">
      <c r="A12">
        <v>11</v>
      </c>
      <c r="B12" t="s">
        <v>34</v>
      </c>
      <c r="C12" t="s">
        <v>31</v>
      </c>
    </row>
    <row r="13" spans="1:3" x14ac:dyDescent="0.3">
      <c r="A13">
        <v>12</v>
      </c>
      <c r="B13" t="s">
        <v>35</v>
      </c>
      <c r="C13" t="s">
        <v>31</v>
      </c>
    </row>
    <row r="14" spans="1:3" x14ac:dyDescent="0.3">
      <c r="A14">
        <v>13</v>
      </c>
      <c r="B14" t="s">
        <v>36</v>
      </c>
      <c r="C14" t="s">
        <v>31</v>
      </c>
    </row>
    <row r="15" spans="1:3" x14ac:dyDescent="0.3">
      <c r="A15">
        <v>14</v>
      </c>
      <c r="B15" t="s">
        <v>37</v>
      </c>
      <c r="C15" t="s">
        <v>31</v>
      </c>
    </row>
    <row r="16" spans="1:3" x14ac:dyDescent="0.3">
      <c r="A16">
        <v>15</v>
      </c>
      <c r="B16" t="s">
        <v>38</v>
      </c>
      <c r="C1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F9C-5AD6-4F8D-A92F-BBE4E7BEC710}">
  <dimension ref="A1:I500"/>
  <sheetViews>
    <sheetView tabSelected="1" topLeftCell="A488" workbookViewId="0">
      <selection activeCell="B500" sqref="B500"/>
    </sheetView>
  </sheetViews>
  <sheetFormatPr baseColWidth="10" defaultRowHeight="14.4" x14ac:dyDescent="0.3"/>
  <cols>
    <col min="3" max="3" width="15.6640625" bestFit="1" customWidth="1"/>
    <col min="4" max="4" width="19.6640625" bestFit="1" customWidth="1"/>
    <col min="5" max="5" width="17.44140625" bestFit="1" customWidth="1"/>
  </cols>
  <sheetData>
    <row r="1" spans="1:9" x14ac:dyDescent="0.3">
      <c r="A1" t="s">
        <v>553</v>
      </c>
      <c r="B1" t="s">
        <v>554</v>
      </c>
      <c r="C1" t="s">
        <v>39</v>
      </c>
      <c r="D1" s="5" t="s">
        <v>40</v>
      </c>
      <c r="E1" t="s">
        <v>41</v>
      </c>
      <c r="F1" t="s">
        <v>545</v>
      </c>
      <c r="G1" t="s">
        <v>556</v>
      </c>
      <c r="H1" t="s">
        <v>555</v>
      </c>
      <c r="I1" t="s">
        <v>557</v>
      </c>
    </row>
    <row r="2" spans="1:9" x14ac:dyDescent="0.3">
      <c r="A2" t="s">
        <v>42</v>
      </c>
      <c r="B2" t="s">
        <v>43</v>
      </c>
      <c r="C2" t="s">
        <v>44</v>
      </c>
      <c r="D2" s="6">
        <v>30957</v>
      </c>
      <c r="E2">
        <v>14</v>
      </c>
      <c r="F2">
        <v>38400</v>
      </c>
      <c r="G2">
        <v>1</v>
      </c>
      <c r="H2">
        <v>9</v>
      </c>
      <c r="I2">
        <v>6</v>
      </c>
    </row>
    <row r="3" spans="1:9" x14ac:dyDescent="0.3">
      <c r="A3" t="s">
        <v>45</v>
      </c>
      <c r="B3" t="s">
        <v>43</v>
      </c>
      <c r="C3" t="s">
        <v>46</v>
      </c>
      <c r="D3" s="6">
        <v>27762</v>
      </c>
      <c r="E3">
        <v>15</v>
      </c>
      <c r="F3">
        <v>33800</v>
      </c>
      <c r="G3">
        <v>1</v>
      </c>
      <c r="H3">
        <v>11</v>
      </c>
      <c r="I3">
        <v>3</v>
      </c>
    </row>
    <row r="4" spans="1:9" x14ac:dyDescent="0.3">
      <c r="A4" t="s">
        <v>47</v>
      </c>
      <c r="B4" t="s">
        <v>43</v>
      </c>
      <c r="C4" t="s">
        <v>46</v>
      </c>
      <c r="D4" s="6">
        <v>30405</v>
      </c>
      <c r="E4">
        <v>23</v>
      </c>
      <c r="F4">
        <v>40880</v>
      </c>
      <c r="G4">
        <v>1</v>
      </c>
      <c r="H4">
        <v>6</v>
      </c>
      <c r="I4">
        <v>7</v>
      </c>
    </row>
    <row r="5" spans="1:9" x14ac:dyDescent="0.3">
      <c r="A5" t="s">
        <v>48</v>
      </c>
      <c r="B5" t="s">
        <v>43</v>
      </c>
      <c r="C5" t="s">
        <v>46</v>
      </c>
      <c r="D5" s="6">
        <v>27609</v>
      </c>
      <c r="E5">
        <v>1</v>
      </c>
      <c r="F5">
        <v>26520</v>
      </c>
      <c r="G5">
        <v>1</v>
      </c>
      <c r="H5">
        <v>1</v>
      </c>
      <c r="I5">
        <v>3</v>
      </c>
    </row>
    <row r="6" spans="1:9" x14ac:dyDescent="0.3">
      <c r="A6" t="s">
        <v>49</v>
      </c>
      <c r="B6" t="s">
        <v>43</v>
      </c>
      <c r="C6" t="s">
        <v>44</v>
      </c>
      <c r="D6" s="6">
        <v>26925</v>
      </c>
      <c r="E6">
        <v>1</v>
      </c>
      <c r="F6">
        <v>32640</v>
      </c>
      <c r="G6">
        <v>3</v>
      </c>
      <c r="H6">
        <v>1</v>
      </c>
      <c r="I6">
        <v>2</v>
      </c>
    </row>
    <row r="7" spans="1:9" x14ac:dyDescent="0.3">
      <c r="A7" t="s">
        <v>50</v>
      </c>
      <c r="B7" t="s">
        <v>43</v>
      </c>
      <c r="C7" t="s">
        <v>44</v>
      </c>
      <c r="D7" s="6">
        <v>35724</v>
      </c>
      <c r="E7">
        <v>12</v>
      </c>
      <c r="F7">
        <v>32240</v>
      </c>
      <c r="G7">
        <v>2</v>
      </c>
      <c r="H7">
        <v>8</v>
      </c>
      <c r="I7">
        <v>3</v>
      </c>
    </row>
    <row r="8" spans="1:9" x14ac:dyDescent="0.3">
      <c r="A8" t="s">
        <v>51</v>
      </c>
      <c r="B8" t="s">
        <v>43</v>
      </c>
      <c r="C8" t="s">
        <v>44</v>
      </c>
      <c r="D8" s="6">
        <v>29372</v>
      </c>
      <c r="E8">
        <v>1</v>
      </c>
      <c r="F8">
        <v>51000</v>
      </c>
      <c r="G8">
        <v>3</v>
      </c>
      <c r="H8">
        <v>6</v>
      </c>
      <c r="I8">
        <v>15</v>
      </c>
    </row>
    <row r="9" spans="1:9" x14ac:dyDescent="0.3">
      <c r="A9" t="s">
        <v>52</v>
      </c>
      <c r="B9" t="s">
        <v>53</v>
      </c>
      <c r="C9" t="s">
        <v>44</v>
      </c>
      <c r="D9" s="6">
        <v>27134</v>
      </c>
      <c r="E9">
        <v>17</v>
      </c>
      <c r="F9">
        <v>93800</v>
      </c>
      <c r="G9">
        <v>1</v>
      </c>
      <c r="H9">
        <v>10</v>
      </c>
      <c r="I9">
        <v>10</v>
      </c>
    </row>
    <row r="10" spans="1:9" x14ac:dyDescent="0.3">
      <c r="A10" t="s">
        <v>54</v>
      </c>
      <c r="B10" t="s">
        <v>43</v>
      </c>
      <c r="C10" t="s">
        <v>46</v>
      </c>
      <c r="D10" s="6">
        <v>34657</v>
      </c>
      <c r="E10">
        <v>1</v>
      </c>
      <c r="F10">
        <v>30600</v>
      </c>
      <c r="G10">
        <v>1</v>
      </c>
      <c r="H10">
        <v>7</v>
      </c>
      <c r="I10">
        <v>6</v>
      </c>
    </row>
    <row r="11" spans="1:9" x14ac:dyDescent="0.3">
      <c r="A11" t="s">
        <v>55</v>
      </c>
      <c r="B11" t="s">
        <v>53</v>
      </c>
      <c r="C11" t="s">
        <v>46</v>
      </c>
      <c r="D11" s="6">
        <v>33843</v>
      </c>
      <c r="E11">
        <v>3</v>
      </c>
      <c r="F11">
        <v>42400</v>
      </c>
      <c r="G11">
        <v>1</v>
      </c>
      <c r="H11">
        <v>7</v>
      </c>
      <c r="I11">
        <v>4</v>
      </c>
    </row>
    <row r="12" spans="1:9" x14ac:dyDescent="0.3">
      <c r="A12" t="s">
        <v>56</v>
      </c>
      <c r="B12" t="s">
        <v>43</v>
      </c>
      <c r="C12" t="s">
        <v>46</v>
      </c>
      <c r="D12" s="6">
        <v>37425</v>
      </c>
      <c r="E12">
        <v>5</v>
      </c>
      <c r="F12">
        <v>71500</v>
      </c>
      <c r="G12">
        <v>3</v>
      </c>
      <c r="H12">
        <v>4</v>
      </c>
      <c r="I12">
        <v>9</v>
      </c>
    </row>
    <row r="13" spans="1:9" x14ac:dyDescent="0.3">
      <c r="A13" t="s">
        <v>57</v>
      </c>
      <c r="B13" t="s">
        <v>53</v>
      </c>
      <c r="C13" t="s">
        <v>46</v>
      </c>
      <c r="D13" s="6">
        <v>32459</v>
      </c>
      <c r="E13">
        <v>1</v>
      </c>
      <c r="F13">
        <v>30600</v>
      </c>
      <c r="G13">
        <v>1</v>
      </c>
      <c r="H13">
        <v>2</v>
      </c>
      <c r="I13">
        <v>6</v>
      </c>
    </row>
    <row r="14" spans="1:9" x14ac:dyDescent="0.3">
      <c r="A14" t="s">
        <v>58</v>
      </c>
      <c r="B14" t="s">
        <v>43</v>
      </c>
      <c r="C14" t="s">
        <v>46</v>
      </c>
      <c r="D14" s="6">
        <v>33279</v>
      </c>
      <c r="E14">
        <v>4</v>
      </c>
      <c r="F14">
        <v>32400</v>
      </c>
      <c r="G14">
        <v>1</v>
      </c>
      <c r="H14">
        <v>6</v>
      </c>
      <c r="I14">
        <v>6</v>
      </c>
    </row>
    <row r="15" spans="1:9" x14ac:dyDescent="0.3">
      <c r="A15" t="s">
        <v>59</v>
      </c>
      <c r="B15" t="s">
        <v>43</v>
      </c>
      <c r="C15" t="s">
        <v>46</v>
      </c>
      <c r="D15" s="6">
        <v>31735</v>
      </c>
      <c r="E15">
        <v>1</v>
      </c>
      <c r="F15">
        <v>71400</v>
      </c>
      <c r="G15">
        <v>1</v>
      </c>
      <c r="H15">
        <v>2</v>
      </c>
      <c r="I15">
        <v>10</v>
      </c>
    </row>
    <row r="16" spans="1:9" x14ac:dyDescent="0.3">
      <c r="A16" t="s">
        <v>60</v>
      </c>
      <c r="B16" t="s">
        <v>43</v>
      </c>
      <c r="C16" t="s">
        <v>44</v>
      </c>
      <c r="D16" s="6">
        <v>25377</v>
      </c>
      <c r="E16">
        <v>1</v>
      </c>
      <c r="F16">
        <v>27540</v>
      </c>
      <c r="G16">
        <v>2</v>
      </c>
      <c r="H16">
        <v>4</v>
      </c>
      <c r="I16">
        <v>5</v>
      </c>
    </row>
    <row r="17" spans="1:9" x14ac:dyDescent="0.3">
      <c r="A17" t="s">
        <v>61</v>
      </c>
      <c r="B17" t="s">
        <v>43</v>
      </c>
      <c r="C17" t="s">
        <v>46</v>
      </c>
      <c r="D17" s="6">
        <v>24630</v>
      </c>
      <c r="E17">
        <v>1</v>
      </c>
      <c r="F17">
        <v>28560</v>
      </c>
      <c r="G17">
        <v>1</v>
      </c>
      <c r="H17">
        <v>7</v>
      </c>
      <c r="I17">
        <v>7</v>
      </c>
    </row>
    <row r="18" spans="1:9" x14ac:dyDescent="0.3">
      <c r="A18" t="s">
        <v>62</v>
      </c>
      <c r="B18" t="s">
        <v>53</v>
      </c>
      <c r="C18" t="s">
        <v>44</v>
      </c>
      <c r="D18" s="6">
        <v>31980</v>
      </c>
      <c r="E18">
        <v>21</v>
      </c>
      <c r="F18">
        <v>36920</v>
      </c>
      <c r="G18">
        <v>1</v>
      </c>
      <c r="H18">
        <v>1</v>
      </c>
      <c r="I18">
        <v>3</v>
      </c>
    </row>
    <row r="19" spans="1:9" x14ac:dyDescent="0.3">
      <c r="A19" t="s">
        <v>63</v>
      </c>
      <c r="B19" t="s">
        <v>53</v>
      </c>
      <c r="C19" t="s">
        <v>44</v>
      </c>
      <c r="D19" s="6">
        <v>26920</v>
      </c>
      <c r="E19">
        <v>16</v>
      </c>
      <c r="F19">
        <v>36960</v>
      </c>
      <c r="G19">
        <v>3</v>
      </c>
      <c r="H19">
        <v>2</v>
      </c>
      <c r="I19">
        <v>7</v>
      </c>
    </row>
    <row r="20" spans="1:9" x14ac:dyDescent="0.3">
      <c r="A20" t="s">
        <v>64</v>
      </c>
      <c r="B20" t="s">
        <v>53</v>
      </c>
      <c r="C20" t="s">
        <v>44</v>
      </c>
      <c r="D20" s="6">
        <v>27157</v>
      </c>
      <c r="E20">
        <v>1</v>
      </c>
      <c r="F20">
        <v>71400</v>
      </c>
      <c r="G20">
        <v>2</v>
      </c>
      <c r="H20">
        <v>9</v>
      </c>
      <c r="I20">
        <v>10</v>
      </c>
    </row>
    <row r="21" spans="1:9" x14ac:dyDescent="0.3">
      <c r="A21" t="s">
        <v>65</v>
      </c>
      <c r="B21" t="s">
        <v>43</v>
      </c>
      <c r="C21" t="s">
        <v>46</v>
      </c>
      <c r="D21" s="6">
        <v>36388</v>
      </c>
      <c r="E21">
        <v>1</v>
      </c>
      <c r="F21">
        <v>61200</v>
      </c>
      <c r="G21">
        <v>1</v>
      </c>
      <c r="H21">
        <v>3</v>
      </c>
      <c r="I21">
        <v>8</v>
      </c>
    </row>
    <row r="22" spans="1:9" x14ac:dyDescent="0.3">
      <c r="A22" t="s">
        <v>66</v>
      </c>
      <c r="B22" t="s">
        <v>43</v>
      </c>
      <c r="C22" t="s">
        <v>46</v>
      </c>
      <c r="D22" s="6">
        <v>30184</v>
      </c>
      <c r="E22">
        <v>10</v>
      </c>
      <c r="F22">
        <v>36000</v>
      </c>
      <c r="G22">
        <v>1</v>
      </c>
      <c r="H22">
        <v>1</v>
      </c>
      <c r="I22">
        <v>6</v>
      </c>
    </row>
    <row r="23" spans="1:9" x14ac:dyDescent="0.3">
      <c r="A23" t="s">
        <v>67</v>
      </c>
      <c r="B23" t="s">
        <v>53</v>
      </c>
      <c r="C23" t="s">
        <v>44</v>
      </c>
      <c r="D23" s="6">
        <v>27663</v>
      </c>
      <c r="E23">
        <v>10</v>
      </c>
      <c r="F23">
        <v>69600</v>
      </c>
      <c r="G23">
        <v>1</v>
      </c>
      <c r="H23">
        <v>10</v>
      </c>
      <c r="I23">
        <v>14</v>
      </c>
    </row>
    <row r="24" spans="1:9" x14ac:dyDescent="0.3">
      <c r="A24" t="s">
        <v>68</v>
      </c>
      <c r="B24" t="s">
        <v>53</v>
      </c>
      <c r="C24" t="s">
        <v>46</v>
      </c>
      <c r="D24" s="6">
        <v>36227</v>
      </c>
      <c r="E24">
        <v>1</v>
      </c>
      <c r="F24">
        <v>30600</v>
      </c>
      <c r="G24">
        <v>3</v>
      </c>
      <c r="H24">
        <v>4</v>
      </c>
      <c r="I24">
        <v>6</v>
      </c>
    </row>
    <row r="25" spans="1:9" x14ac:dyDescent="0.3">
      <c r="A25" t="s">
        <v>69</v>
      </c>
      <c r="B25" t="s">
        <v>43</v>
      </c>
      <c r="C25" t="s">
        <v>44</v>
      </c>
      <c r="D25" s="6">
        <v>29424</v>
      </c>
      <c r="E25">
        <v>10</v>
      </c>
      <c r="F25">
        <v>33600</v>
      </c>
      <c r="G25">
        <v>1</v>
      </c>
      <c r="H25">
        <v>9</v>
      </c>
      <c r="I25">
        <v>7</v>
      </c>
    </row>
    <row r="26" spans="1:9" x14ac:dyDescent="0.3">
      <c r="A26" t="s">
        <v>70</v>
      </c>
      <c r="B26" t="s">
        <v>53</v>
      </c>
      <c r="C26" t="s">
        <v>44</v>
      </c>
      <c r="D26" s="6">
        <v>32722</v>
      </c>
      <c r="E26">
        <v>1</v>
      </c>
      <c r="F26">
        <v>40800</v>
      </c>
      <c r="G26">
        <v>2</v>
      </c>
      <c r="H26">
        <v>6</v>
      </c>
      <c r="I26">
        <v>4</v>
      </c>
    </row>
    <row r="27" spans="1:9" x14ac:dyDescent="0.3">
      <c r="A27" t="s">
        <v>71</v>
      </c>
      <c r="B27" t="s">
        <v>53</v>
      </c>
      <c r="C27" t="s">
        <v>44</v>
      </c>
      <c r="D27" s="6">
        <v>30774</v>
      </c>
      <c r="E27">
        <v>2</v>
      </c>
      <c r="F27">
        <v>28080</v>
      </c>
      <c r="G27">
        <v>1</v>
      </c>
      <c r="H27">
        <v>2</v>
      </c>
      <c r="I27">
        <v>5</v>
      </c>
    </row>
    <row r="28" spans="1:9" x14ac:dyDescent="0.3">
      <c r="A28" t="s">
        <v>72</v>
      </c>
      <c r="B28" t="s">
        <v>43</v>
      </c>
      <c r="C28" t="s">
        <v>46</v>
      </c>
      <c r="D28" s="6">
        <v>28992</v>
      </c>
      <c r="E28">
        <v>2</v>
      </c>
      <c r="F28">
        <v>70720</v>
      </c>
      <c r="G28">
        <v>2</v>
      </c>
      <c r="H28">
        <v>11</v>
      </c>
      <c r="I28">
        <v>12</v>
      </c>
    </row>
    <row r="29" spans="1:9" x14ac:dyDescent="0.3">
      <c r="A29" t="s">
        <v>73</v>
      </c>
      <c r="B29" t="s">
        <v>43</v>
      </c>
      <c r="C29" t="s">
        <v>44</v>
      </c>
      <c r="D29" s="6">
        <v>26218</v>
      </c>
      <c r="E29">
        <v>1</v>
      </c>
      <c r="F29">
        <v>51000</v>
      </c>
      <c r="G29">
        <v>2</v>
      </c>
      <c r="H29">
        <v>6</v>
      </c>
      <c r="I29">
        <v>15</v>
      </c>
    </row>
    <row r="30" spans="1:9" x14ac:dyDescent="0.3">
      <c r="A30" t="s">
        <v>74</v>
      </c>
      <c r="B30" t="s">
        <v>43</v>
      </c>
      <c r="C30" t="s">
        <v>46</v>
      </c>
      <c r="D30" s="6">
        <v>24091</v>
      </c>
      <c r="E30">
        <v>1</v>
      </c>
      <c r="F30">
        <v>30600</v>
      </c>
      <c r="G30">
        <v>3</v>
      </c>
      <c r="H30">
        <v>5</v>
      </c>
      <c r="I30">
        <v>6</v>
      </c>
    </row>
    <row r="31" spans="1:9" x14ac:dyDescent="0.3">
      <c r="A31" t="s">
        <v>75</v>
      </c>
      <c r="B31" t="s">
        <v>43</v>
      </c>
      <c r="C31" t="s">
        <v>44</v>
      </c>
      <c r="D31" s="6">
        <v>26867</v>
      </c>
      <c r="E31">
        <v>1</v>
      </c>
      <c r="F31">
        <v>66300</v>
      </c>
      <c r="G31">
        <v>1</v>
      </c>
      <c r="H31">
        <v>1</v>
      </c>
      <c r="I31">
        <v>9</v>
      </c>
    </row>
    <row r="32" spans="1:9" x14ac:dyDescent="0.3">
      <c r="A32" t="s">
        <v>76</v>
      </c>
      <c r="B32" t="s">
        <v>43</v>
      </c>
      <c r="C32" t="s">
        <v>44</v>
      </c>
      <c r="D32" s="6">
        <v>28059</v>
      </c>
      <c r="E32">
        <v>1</v>
      </c>
      <c r="F32">
        <v>40800</v>
      </c>
      <c r="G32">
        <v>3</v>
      </c>
      <c r="H32">
        <v>2</v>
      </c>
      <c r="I32">
        <v>4</v>
      </c>
    </row>
    <row r="33" spans="1:9" x14ac:dyDescent="0.3">
      <c r="A33" t="s">
        <v>77</v>
      </c>
      <c r="B33" t="s">
        <v>43</v>
      </c>
      <c r="C33" t="s">
        <v>46</v>
      </c>
      <c r="D33" s="6">
        <v>28757</v>
      </c>
      <c r="E33">
        <v>10</v>
      </c>
      <c r="F33">
        <v>108000</v>
      </c>
      <c r="G33">
        <v>2</v>
      </c>
      <c r="H33">
        <v>10</v>
      </c>
      <c r="I33">
        <v>11</v>
      </c>
    </row>
    <row r="34" spans="1:9" x14ac:dyDescent="0.3">
      <c r="A34" t="s">
        <v>78</v>
      </c>
      <c r="B34" t="s">
        <v>43</v>
      </c>
      <c r="C34" t="s">
        <v>44</v>
      </c>
      <c r="D34" s="6">
        <v>25858</v>
      </c>
      <c r="E34">
        <v>12</v>
      </c>
      <c r="F34">
        <v>74400</v>
      </c>
      <c r="G34">
        <v>3</v>
      </c>
      <c r="H34">
        <v>5</v>
      </c>
      <c r="I34">
        <v>8</v>
      </c>
    </row>
    <row r="35" spans="1:9" x14ac:dyDescent="0.3">
      <c r="A35" t="s">
        <v>79</v>
      </c>
      <c r="B35" t="s">
        <v>43</v>
      </c>
      <c r="C35" t="s">
        <v>46</v>
      </c>
      <c r="D35" s="6">
        <v>25208</v>
      </c>
      <c r="E35">
        <v>14</v>
      </c>
      <c r="F35">
        <v>64000</v>
      </c>
      <c r="G35">
        <v>3</v>
      </c>
      <c r="H35">
        <v>10</v>
      </c>
      <c r="I35">
        <v>15</v>
      </c>
    </row>
    <row r="36" spans="1:9" x14ac:dyDescent="0.3">
      <c r="A36" t="s">
        <v>80</v>
      </c>
      <c r="B36" t="s">
        <v>43</v>
      </c>
      <c r="C36" t="s">
        <v>44</v>
      </c>
      <c r="D36" s="6">
        <v>29537</v>
      </c>
      <c r="E36">
        <v>10</v>
      </c>
      <c r="F36">
        <v>78000</v>
      </c>
      <c r="G36">
        <v>2</v>
      </c>
      <c r="H36">
        <v>1</v>
      </c>
      <c r="I36">
        <v>9</v>
      </c>
    </row>
    <row r="37" spans="1:9" x14ac:dyDescent="0.3">
      <c r="A37" t="s">
        <v>81</v>
      </c>
      <c r="B37" t="s">
        <v>43</v>
      </c>
      <c r="C37" t="s">
        <v>44</v>
      </c>
      <c r="D37" s="6">
        <v>23818</v>
      </c>
      <c r="E37">
        <v>10</v>
      </c>
      <c r="F37">
        <v>33600</v>
      </c>
      <c r="G37">
        <v>3</v>
      </c>
      <c r="H37">
        <v>3</v>
      </c>
      <c r="I37">
        <v>7</v>
      </c>
    </row>
    <row r="38" spans="1:9" x14ac:dyDescent="0.3">
      <c r="A38" t="s">
        <v>82</v>
      </c>
      <c r="B38" t="s">
        <v>43</v>
      </c>
      <c r="C38" t="s">
        <v>46</v>
      </c>
      <c r="D38" s="6">
        <v>27156</v>
      </c>
      <c r="E38">
        <v>5</v>
      </c>
      <c r="F38">
        <v>71500</v>
      </c>
      <c r="G38">
        <v>1</v>
      </c>
      <c r="H38">
        <v>9</v>
      </c>
      <c r="I38">
        <v>9</v>
      </c>
    </row>
    <row r="39" spans="1:9" x14ac:dyDescent="0.3">
      <c r="A39" t="s">
        <v>83</v>
      </c>
      <c r="B39" t="s">
        <v>43</v>
      </c>
      <c r="C39" t="s">
        <v>44</v>
      </c>
      <c r="D39" s="6">
        <v>30307</v>
      </c>
      <c r="E39">
        <v>5</v>
      </c>
      <c r="F39">
        <v>30800</v>
      </c>
      <c r="G39">
        <v>2</v>
      </c>
      <c r="H39">
        <v>4</v>
      </c>
      <c r="I39">
        <v>7</v>
      </c>
    </row>
    <row r="40" spans="1:9" x14ac:dyDescent="0.3">
      <c r="A40" t="s">
        <v>84</v>
      </c>
      <c r="B40" t="s">
        <v>43</v>
      </c>
      <c r="C40" t="s">
        <v>46</v>
      </c>
      <c r="D40" s="6">
        <v>30565</v>
      </c>
      <c r="E40">
        <v>11</v>
      </c>
      <c r="F40">
        <v>73200</v>
      </c>
      <c r="G40">
        <v>1</v>
      </c>
      <c r="H40">
        <v>3</v>
      </c>
      <c r="I40">
        <v>8</v>
      </c>
    </row>
    <row r="41" spans="1:9" x14ac:dyDescent="0.3">
      <c r="A41" t="s">
        <v>85</v>
      </c>
      <c r="B41" t="s">
        <v>43</v>
      </c>
      <c r="C41" t="s">
        <v>44</v>
      </c>
      <c r="D41" s="6">
        <v>27552</v>
      </c>
      <c r="E41">
        <v>5</v>
      </c>
      <c r="F41">
        <v>71500</v>
      </c>
      <c r="G41">
        <v>1</v>
      </c>
      <c r="H41">
        <v>7</v>
      </c>
      <c r="I41">
        <v>9</v>
      </c>
    </row>
    <row r="42" spans="1:9" x14ac:dyDescent="0.3">
      <c r="A42" t="s">
        <v>86</v>
      </c>
      <c r="B42" t="s">
        <v>53</v>
      </c>
      <c r="C42" t="s">
        <v>44</v>
      </c>
      <c r="D42" s="6">
        <v>32107</v>
      </c>
      <c r="E42">
        <v>1</v>
      </c>
      <c r="F42">
        <v>27540</v>
      </c>
      <c r="G42">
        <v>2</v>
      </c>
      <c r="H42">
        <v>7</v>
      </c>
      <c r="I42">
        <v>5</v>
      </c>
    </row>
    <row r="43" spans="1:9" x14ac:dyDescent="0.3">
      <c r="A43" t="s">
        <v>87</v>
      </c>
      <c r="B43" t="s">
        <v>43</v>
      </c>
      <c r="C43" t="s">
        <v>44</v>
      </c>
      <c r="D43" s="6">
        <v>30697</v>
      </c>
      <c r="E43">
        <v>1</v>
      </c>
      <c r="F43">
        <v>30600</v>
      </c>
      <c r="G43">
        <v>2</v>
      </c>
      <c r="H43">
        <v>11</v>
      </c>
      <c r="I43">
        <v>6</v>
      </c>
    </row>
    <row r="44" spans="1:9" x14ac:dyDescent="0.3">
      <c r="A44" t="s">
        <v>88</v>
      </c>
      <c r="B44" t="s">
        <v>43</v>
      </c>
      <c r="C44" t="s">
        <v>46</v>
      </c>
      <c r="D44" s="6">
        <v>27952</v>
      </c>
      <c r="E44">
        <v>1</v>
      </c>
      <c r="F44">
        <v>51000</v>
      </c>
      <c r="G44">
        <v>2</v>
      </c>
      <c r="H44">
        <v>8</v>
      </c>
      <c r="I44">
        <v>15</v>
      </c>
    </row>
    <row r="45" spans="1:9" x14ac:dyDescent="0.3">
      <c r="A45" t="s">
        <v>89</v>
      </c>
      <c r="B45" t="s">
        <v>53</v>
      </c>
      <c r="C45" t="s">
        <v>44</v>
      </c>
      <c r="D45" s="6">
        <v>25533</v>
      </c>
      <c r="E45">
        <v>1</v>
      </c>
      <c r="F45">
        <v>61200</v>
      </c>
      <c r="G45">
        <v>1</v>
      </c>
      <c r="H45">
        <v>2</v>
      </c>
      <c r="I45">
        <v>8</v>
      </c>
    </row>
    <row r="46" spans="1:9" x14ac:dyDescent="0.3">
      <c r="A46" t="s">
        <v>90</v>
      </c>
      <c r="B46" t="s">
        <v>53</v>
      </c>
      <c r="C46" t="s">
        <v>46</v>
      </c>
      <c r="D46" s="6">
        <v>28785</v>
      </c>
      <c r="E46">
        <v>10</v>
      </c>
      <c r="F46">
        <v>38400</v>
      </c>
      <c r="G46">
        <v>1</v>
      </c>
      <c r="H46">
        <v>9</v>
      </c>
      <c r="I46">
        <v>2</v>
      </c>
    </row>
    <row r="47" spans="1:9" x14ac:dyDescent="0.3">
      <c r="A47" t="s">
        <v>91</v>
      </c>
      <c r="B47" t="s">
        <v>53</v>
      </c>
      <c r="C47" t="s">
        <v>46</v>
      </c>
      <c r="D47" s="6">
        <v>30210</v>
      </c>
      <c r="E47">
        <v>1</v>
      </c>
      <c r="F47">
        <v>61200</v>
      </c>
      <c r="G47">
        <v>3</v>
      </c>
      <c r="H47">
        <v>11</v>
      </c>
      <c r="I47">
        <v>8</v>
      </c>
    </row>
    <row r="48" spans="1:9" x14ac:dyDescent="0.3">
      <c r="A48" t="s">
        <v>92</v>
      </c>
      <c r="B48" t="s">
        <v>43</v>
      </c>
      <c r="C48" t="s">
        <v>44</v>
      </c>
      <c r="D48" s="6">
        <v>31980</v>
      </c>
      <c r="E48">
        <v>27</v>
      </c>
      <c r="F48">
        <v>38500</v>
      </c>
      <c r="G48">
        <v>1</v>
      </c>
      <c r="H48">
        <v>8</v>
      </c>
      <c r="I48">
        <v>1</v>
      </c>
    </row>
    <row r="49" spans="1:9" x14ac:dyDescent="0.3">
      <c r="A49" t="s">
        <v>93</v>
      </c>
      <c r="B49" t="s">
        <v>53</v>
      </c>
      <c r="C49" t="s">
        <v>46</v>
      </c>
      <c r="D49" s="6">
        <v>29305</v>
      </c>
      <c r="E49">
        <v>19</v>
      </c>
      <c r="F49">
        <v>34500</v>
      </c>
      <c r="G49">
        <v>1</v>
      </c>
      <c r="H49">
        <v>7</v>
      </c>
      <c r="I49">
        <v>1</v>
      </c>
    </row>
    <row r="50" spans="1:9" x14ac:dyDescent="0.3">
      <c r="A50" t="s">
        <v>94</v>
      </c>
      <c r="B50" t="s">
        <v>53</v>
      </c>
      <c r="C50" t="s">
        <v>44</v>
      </c>
      <c r="D50" s="6">
        <v>29838</v>
      </c>
      <c r="E50">
        <v>35</v>
      </c>
      <c r="F50">
        <v>47600</v>
      </c>
      <c r="G50">
        <v>1</v>
      </c>
      <c r="H50">
        <v>9</v>
      </c>
      <c r="I50">
        <v>7</v>
      </c>
    </row>
    <row r="51" spans="1:9" x14ac:dyDescent="0.3">
      <c r="A51" t="s">
        <v>95</v>
      </c>
      <c r="B51" t="s">
        <v>43</v>
      </c>
      <c r="C51" t="s">
        <v>44</v>
      </c>
      <c r="D51" s="6">
        <v>30544</v>
      </c>
      <c r="E51">
        <v>27</v>
      </c>
      <c r="F51">
        <v>38500</v>
      </c>
      <c r="G51">
        <v>1</v>
      </c>
      <c r="H51">
        <v>3</v>
      </c>
      <c r="I51">
        <v>1</v>
      </c>
    </row>
    <row r="52" spans="1:9" x14ac:dyDescent="0.3">
      <c r="A52" t="s">
        <v>96</v>
      </c>
      <c r="B52" t="s">
        <v>53</v>
      </c>
      <c r="C52" t="s">
        <v>44</v>
      </c>
      <c r="D52" s="6">
        <v>36167</v>
      </c>
      <c r="E52">
        <v>1</v>
      </c>
      <c r="F52">
        <v>32640</v>
      </c>
      <c r="G52">
        <v>2</v>
      </c>
      <c r="H52">
        <v>11</v>
      </c>
      <c r="I52">
        <v>2</v>
      </c>
    </row>
    <row r="53" spans="1:9" x14ac:dyDescent="0.3">
      <c r="A53" t="s">
        <v>97</v>
      </c>
      <c r="B53" t="s">
        <v>53</v>
      </c>
      <c r="C53" t="s">
        <v>44</v>
      </c>
      <c r="D53" s="6">
        <v>28027</v>
      </c>
      <c r="E53">
        <v>10</v>
      </c>
      <c r="F53">
        <v>38400</v>
      </c>
      <c r="G53">
        <v>2</v>
      </c>
      <c r="H53">
        <v>4</v>
      </c>
      <c r="I53">
        <v>2</v>
      </c>
    </row>
    <row r="54" spans="1:9" x14ac:dyDescent="0.3">
      <c r="A54" t="s">
        <v>98</v>
      </c>
      <c r="B54" t="s">
        <v>43</v>
      </c>
      <c r="C54" t="s">
        <v>46</v>
      </c>
      <c r="D54" s="6">
        <v>29393</v>
      </c>
      <c r="E54">
        <v>10</v>
      </c>
      <c r="F54">
        <v>78000</v>
      </c>
      <c r="G54">
        <v>1</v>
      </c>
      <c r="H54">
        <v>10</v>
      </c>
      <c r="I54">
        <v>9</v>
      </c>
    </row>
    <row r="55" spans="1:9" x14ac:dyDescent="0.3">
      <c r="A55" t="s">
        <v>99</v>
      </c>
      <c r="B55" t="s">
        <v>43</v>
      </c>
      <c r="C55" t="s">
        <v>46</v>
      </c>
      <c r="D55" s="6">
        <v>27932</v>
      </c>
      <c r="E55">
        <v>10</v>
      </c>
      <c r="F55">
        <v>32400</v>
      </c>
      <c r="G55">
        <v>3</v>
      </c>
      <c r="H55">
        <v>7</v>
      </c>
      <c r="I55">
        <v>5</v>
      </c>
    </row>
    <row r="56" spans="1:9" x14ac:dyDescent="0.3">
      <c r="A56" t="s">
        <v>100</v>
      </c>
      <c r="B56" t="s">
        <v>53</v>
      </c>
      <c r="C56" t="s">
        <v>44</v>
      </c>
      <c r="D56" s="6">
        <v>29473</v>
      </c>
      <c r="E56">
        <v>10</v>
      </c>
      <c r="F56">
        <v>72000</v>
      </c>
      <c r="G56">
        <v>1</v>
      </c>
      <c r="H56">
        <v>2</v>
      </c>
      <c r="I56">
        <v>8</v>
      </c>
    </row>
    <row r="57" spans="1:9" x14ac:dyDescent="0.3">
      <c r="A57" t="s">
        <v>101</v>
      </c>
      <c r="B57" t="s">
        <v>53</v>
      </c>
      <c r="C57" t="s">
        <v>46</v>
      </c>
      <c r="D57" s="6">
        <v>33204</v>
      </c>
      <c r="E57">
        <v>1</v>
      </c>
      <c r="F57">
        <v>27540</v>
      </c>
      <c r="G57">
        <v>1</v>
      </c>
      <c r="H57">
        <v>10</v>
      </c>
      <c r="I57">
        <v>5</v>
      </c>
    </row>
    <row r="58" spans="1:9" x14ac:dyDescent="0.3">
      <c r="A58" t="s">
        <v>102</v>
      </c>
      <c r="B58" t="s">
        <v>53</v>
      </c>
      <c r="C58" t="s">
        <v>44</v>
      </c>
      <c r="D58" s="6">
        <v>25069</v>
      </c>
      <c r="E58">
        <v>11</v>
      </c>
      <c r="F58">
        <v>39040</v>
      </c>
      <c r="G58">
        <v>1</v>
      </c>
      <c r="H58">
        <v>3</v>
      </c>
      <c r="I58">
        <v>2</v>
      </c>
    </row>
    <row r="59" spans="1:9" x14ac:dyDescent="0.3">
      <c r="A59" t="s">
        <v>103</v>
      </c>
      <c r="B59" t="s">
        <v>53</v>
      </c>
      <c r="C59" t="s">
        <v>46</v>
      </c>
      <c r="D59" s="6">
        <v>32065</v>
      </c>
      <c r="E59">
        <v>11</v>
      </c>
      <c r="F59">
        <v>73200</v>
      </c>
      <c r="G59">
        <v>1</v>
      </c>
      <c r="H59">
        <v>7</v>
      </c>
      <c r="I59">
        <v>8</v>
      </c>
    </row>
    <row r="60" spans="1:9" x14ac:dyDescent="0.3">
      <c r="A60" t="s">
        <v>104</v>
      </c>
      <c r="B60" t="s">
        <v>43</v>
      </c>
      <c r="C60" t="s">
        <v>46</v>
      </c>
      <c r="D60" s="6">
        <v>30491</v>
      </c>
      <c r="E60">
        <v>5</v>
      </c>
      <c r="F60">
        <v>55000</v>
      </c>
      <c r="G60">
        <v>1</v>
      </c>
      <c r="H60">
        <v>1</v>
      </c>
      <c r="I60">
        <v>15</v>
      </c>
    </row>
    <row r="61" spans="1:9" x14ac:dyDescent="0.3">
      <c r="A61" t="s">
        <v>105</v>
      </c>
      <c r="B61" t="s">
        <v>43</v>
      </c>
      <c r="C61" t="s">
        <v>46</v>
      </c>
      <c r="D61" s="6">
        <v>25889</v>
      </c>
      <c r="E61">
        <v>1</v>
      </c>
      <c r="F61">
        <v>61200</v>
      </c>
      <c r="G61">
        <v>1</v>
      </c>
      <c r="H61">
        <v>5</v>
      </c>
      <c r="I61">
        <v>8</v>
      </c>
    </row>
    <row r="62" spans="1:9" x14ac:dyDescent="0.3">
      <c r="A62" t="s">
        <v>106</v>
      </c>
      <c r="B62" t="s">
        <v>43</v>
      </c>
      <c r="C62" t="s">
        <v>44</v>
      </c>
      <c r="D62" s="6">
        <v>30603</v>
      </c>
      <c r="E62">
        <v>17</v>
      </c>
      <c r="F62">
        <v>34840</v>
      </c>
      <c r="G62">
        <v>2</v>
      </c>
      <c r="H62">
        <v>3</v>
      </c>
      <c r="I62">
        <v>3</v>
      </c>
    </row>
    <row r="63" spans="1:9" x14ac:dyDescent="0.3">
      <c r="A63" t="s">
        <v>107</v>
      </c>
      <c r="B63" t="s">
        <v>53</v>
      </c>
      <c r="C63" t="s">
        <v>44</v>
      </c>
      <c r="D63" s="6">
        <v>34095</v>
      </c>
      <c r="E63">
        <v>1</v>
      </c>
      <c r="F63">
        <v>25500</v>
      </c>
      <c r="G63">
        <v>1</v>
      </c>
      <c r="H63">
        <v>3</v>
      </c>
      <c r="I63">
        <v>1</v>
      </c>
    </row>
    <row r="64" spans="1:9" x14ac:dyDescent="0.3">
      <c r="A64" t="s">
        <v>108</v>
      </c>
      <c r="B64" t="s">
        <v>53</v>
      </c>
      <c r="C64" t="s">
        <v>44</v>
      </c>
      <c r="D64" s="6">
        <v>24881</v>
      </c>
      <c r="E64">
        <v>18</v>
      </c>
      <c r="F64">
        <v>43520</v>
      </c>
      <c r="G64">
        <v>3</v>
      </c>
      <c r="H64">
        <v>8</v>
      </c>
      <c r="I64">
        <v>2</v>
      </c>
    </row>
    <row r="65" spans="1:9" x14ac:dyDescent="0.3">
      <c r="A65" t="s">
        <v>109</v>
      </c>
      <c r="B65" t="s">
        <v>43</v>
      </c>
      <c r="C65" t="s">
        <v>46</v>
      </c>
      <c r="D65" s="6">
        <v>34007</v>
      </c>
      <c r="E65">
        <v>12</v>
      </c>
      <c r="F65">
        <v>31000</v>
      </c>
      <c r="G65">
        <v>1</v>
      </c>
      <c r="H65">
        <v>5</v>
      </c>
      <c r="I65">
        <v>1</v>
      </c>
    </row>
    <row r="66" spans="1:9" x14ac:dyDescent="0.3">
      <c r="A66" t="s">
        <v>110</v>
      </c>
      <c r="B66" t="s">
        <v>53</v>
      </c>
      <c r="C66" t="s">
        <v>46</v>
      </c>
      <c r="D66" s="6">
        <v>32029</v>
      </c>
      <c r="E66">
        <v>1</v>
      </c>
      <c r="F66">
        <v>28560</v>
      </c>
      <c r="G66">
        <v>1</v>
      </c>
      <c r="H66">
        <v>6</v>
      </c>
      <c r="I66">
        <v>7</v>
      </c>
    </row>
    <row r="67" spans="1:9" x14ac:dyDescent="0.3">
      <c r="A67" t="s">
        <v>111</v>
      </c>
      <c r="B67" t="s">
        <v>43</v>
      </c>
      <c r="C67" t="s">
        <v>46</v>
      </c>
      <c r="D67" s="6">
        <v>29639</v>
      </c>
      <c r="E67">
        <v>21</v>
      </c>
      <c r="F67">
        <v>99400</v>
      </c>
      <c r="G67">
        <v>1</v>
      </c>
      <c r="H67">
        <v>9</v>
      </c>
      <c r="I67">
        <v>10</v>
      </c>
    </row>
    <row r="68" spans="1:9" x14ac:dyDescent="0.3">
      <c r="A68" t="s">
        <v>112</v>
      </c>
      <c r="B68" t="s">
        <v>43</v>
      </c>
      <c r="C68" t="s">
        <v>46</v>
      </c>
      <c r="D68" s="6">
        <v>29883</v>
      </c>
      <c r="E68">
        <v>23</v>
      </c>
      <c r="F68">
        <v>39420</v>
      </c>
      <c r="G68">
        <v>1</v>
      </c>
      <c r="H68">
        <v>2</v>
      </c>
      <c r="I68">
        <v>5</v>
      </c>
    </row>
    <row r="69" spans="1:9" x14ac:dyDescent="0.3">
      <c r="A69" t="s">
        <v>113</v>
      </c>
      <c r="B69" t="s">
        <v>43</v>
      </c>
      <c r="C69" t="s">
        <v>44</v>
      </c>
      <c r="D69" s="6">
        <v>25855</v>
      </c>
      <c r="E69">
        <v>10</v>
      </c>
      <c r="F69">
        <v>32400</v>
      </c>
      <c r="G69">
        <v>1</v>
      </c>
      <c r="H69">
        <v>5</v>
      </c>
      <c r="I69">
        <v>5</v>
      </c>
    </row>
    <row r="70" spans="1:9" x14ac:dyDescent="0.3">
      <c r="A70" t="s">
        <v>114</v>
      </c>
      <c r="B70" t="s">
        <v>43</v>
      </c>
      <c r="C70" t="s">
        <v>44</v>
      </c>
      <c r="D70" s="6">
        <v>33784</v>
      </c>
      <c r="E70">
        <v>5</v>
      </c>
      <c r="F70">
        <v>66000</v>
      </c>
      <c r="G70">
        <v>2</v>
      </c>
      <c r="H70">
        <v>10</v>
      </c>
      <c r="I70">
        <v>8</v>
      </c>
    </row>
    <row r="71" spans="1:9" x14ac:dyDescent="0.3">
      <c r="A71" t="s">
        <v>115</v>
      </c>
      <c r="B71" t="s">
        <v>53</v>
      </c>
      <c r="C71" t="s">
        <v>46</v>
      </c>
      <c r="D71" s="6">
        <v>33894</v>
      </c>
      <c r="E71">
        <v>4</v>
      </c>
      <c r="F71">
        <v>64800</v>
      </c>
      <c r="G71">
        <v>1</v>
      </c>
      <c r="H71">
        <v>4</v>
      </c>
      <c r="I71">
        <v>8</v>
      </c>
    </row>
    <row r="72" spans="1:9" x14ac:dyDescent="0.3">
      <c r="A72" t="s">
        <v>116</v>
      </c>
      <c r="B72" t="s">
        <v>43</v>
      </c>
      <c r="C72" t="s">
        <v>44</v>
      </c>
      <c r="D72" s="6">
        <v>23697</v>
      </c>
      <c r="E72">
        <v>31</v>
      </c>
      <c r="F72">
        <v>105300</v>
      </c>
      <c r="G72">
        <v>1</v>
      </c>
      <c r="H72">
        <v>8</v>
      </c>
      <c r="I72">
        <v>9</v>
      </c>
    </row>
    <row r="73" spans="1:9" x14ac:dyDescent="0.3">
      <c r="A73" t="s">
        <v>117</v>
      </c>
      <c r="B73" t="s">
        <v>43</v>
      </c>
      <c r="C73" t="s">
        <v>44</v>
      </c>
      <c r="D73" s="6">
        <v>30249</v>
      </c>
      <c r="E73">
        <v>1</v>
      </c>
      <c r="F73">
        <v>51000</v>
      </c>
      <c r="G73">
        <v>1</v>
      </c>
      <c r="H73">
        <v>2</v>
      </c>
      <c r="I73">
        <v>15</v>
      </c>
    </row>
    <row r="74" spans="1:9" x14ac:dyDescent="0.3">
      <c r="A74" t="s">
        <v>118</v>
      </c>
      <c r="B74" t="s">
        <v>43</v>
      </c>
      <c r="C74" t="s">
        <v>46</v>
      </c>
      <c r="D74" s="6">
        <v>25611</v>
      </c>
      <c r="E74">
        <v>16</v>
      </c>
      <c r="F74">
        <v>42240</v>
      </c>
      <c r="G74">
        <v>1</v>
      </c>
      <c r="H74">
        <v>3</v>
      </c>
      <c r="I74">
        <v>2</v>
      </c>
    </row>
    <row r="75" spans="1:9" x14ac:dyDescent="0.3">
      <c r="A75" t="s">
        <v>119</v>
      </c>
      <c r="B75" t="s">
        <v>43</v>
      </c>
      <c r="C75" t="s">
        <v>44</v>
      </c>
      <c r="D75" s="6">
        <v>30129</v>
      </c>
      <c r="E75">
        <v>1</v>
      </c>
      <c r="F75">
        <v>25500</v>
      </c>
      <c r="G75">
        <v>3</v>
      </c>
      <c r="H75">
        <v>2</v>
      </c>
      <c r="I75">
        <v>1</v>
      </c>
    </row>
    <row r="76" spans="1:9" x14ac:dyDescent="0.3">
      <c r="A76" t="s">
        <v>120</v>
      </c>
      <c r="B76" t="s">
        <v>53</v>
      </c>
      <c r="C76" t="s">
        <v>46</v>
      </c>
      <c r="D76" s="6">
        <v>26962</v>
      </c>
      <c r="E76">
        <v>17</v>
      </c>
      <c r="F76">
        <v>42880</v>
      </c>
      <c r="G76">
        <v>1</v>
      </c>
      <c r="H76">
        <v>3</v>
      </c>
      <c r="I76">
        <v>2</v>
      </c>
    </row>
    <row r="77" spans="1:9" x14ac:dyDescent="0.3">
      <c r="A77" t="s">
        <v>121</v>
      </c>
      <c r="B77" t="s">
        <v>53</v>
      </c>
      <c r="C77" t="s">
        <v>46</v>
      </c>
      <c r="D77" s="6">
        <v>30794</v>
      </c>
      <c r="E77">
        <v>29</v>
      </c>
      <c r="F77">
        <v>41080</v>
      </c>
      <c r="G77">
        <v>1</v>
      </c>
      <c r="H77">
        <v>8</v>
      </c>
      <c r="I77">
        <v>3</v>
      </c>
    </row>
    <row r="78" spans="1:9" x14ac:dyDescent="0.3">
      <c r="A78" t="s">
        <v>122</v>
      </c>
      <c r="B78" t="s">
        <v>43</v>
      </c>
      <c r="C78" t="s">
        <v>44</v>
      </c>
      <c r="D78" s="6">
        <v>26825</v>
      </c>
      <c r="E78">
        <v>1</v>
      </c>
      <c r="F78">
        <v>66300</v>
      </c>
      <c r="G78">
        <v>1</v>
      </c>
      <c r="H78">
        <v>11</v>
      </c>
      <c r="I78">
        <v>9</v>
      </c>
    </row>
    <row r="79" spans="1:9" x14ac:dyDescent="0.3">
      <c r="A79" t="s">
        <v>123</v>
      </c>
      <c r="B79" t="s">
        <v>53</v>
      </c>
      <c r="C79" t="s">
        <v>44</v>
      </c>
      <c r="D79" s="6">
        <v>26845</v>
      </c>
      <c r="E79">
        <v>16</v>
      </c>
      <c r="F79">
        <v>92400</v>
      </c>
      <c r="G79">
        <v>1</v>
      </c>
      <c r="H79">
        <v>1</v>
      </c>
      <c r="I79">
        <v>10</v>
      </c>
    </row>
    <row r="80" spans="1:9" x14ac:dyDescent="0.3">
      <c r="A80" t="s">
        <v>124</v>
      </c>
      <c r="B80" t="s">
        <v>53</v>
      </c>
      <c r="C80" t="s">
        <v>44</v>
      </c>
      <c r="D80" s="6">
        <v>24350</v>
      </c>
      <c r="E80">
        <v>19</v>
      </c>
      <c r="F80">
        <v>96600</v>
      </c>
      <c r="G80">
        <v>1</v>
      </c>
      <c r="H80">
        <v>5</v>
      </c>
      <c r="I80">
        <v>10</v>
      </c>
    </row>
    <row r="81" spans="1:9" x14ac:dyDescent="0.3">
      <c r="A81" t="s">
        <v>125</v>
      </c>
      <c r="B81" t="s">
        <v>53</v>
      </c>
      <c r="C81" t="s">
        <v>44</v>
      </c>
      <c r="D81" s="6">
        <v>33882</v>
      </c>
      <c r="E81">
        <v>13</v>
      </c>
      <c r="F81">
        <v>34020</v>
      </c>
      <c r="G81">
        <v>1</v>
      </c>
      <c r="H81">
        <v>6</v>
      </c>
      <c r="I81">
        <v>5</v>
      </c>
    </row>
    <row r="82" spans="1:9" x14ac:dyDescent="0.3">
      <c r="A82" t="s">
        <v>126</v>
      </c>
      <c r="B82" t="s">
        <v>43</v>
      </c>
      <c r="C82" t="s">
        <v>44</v>
      </c>
      <c r="D82" s="6">
        <v>25971</v>
      </c>
      <c r="E82">
        <v>2</v>
      </c>
      <c r="F82">
        <v>52000</v>
      </c>
      <c r="G82">
        <v>1</v>
      </c>
      <c r="H82">
        <v>4</v>
      </c>
      <c r="I82">
        <v>15</v>
      </c>
    </row>
    <row r="83" spans="1:9" x14ac:dyDescent="0.3">
      <c r="A83" t="s">
        <v>127</v>
      </c>
      <c r="B83" t="s">
        <v>53</v>
      </c>
      <c r="C83" t="s">
        <v>44</v>
      </c>
      <c r="D83" s="6">
        <v>26848</v>
      </c>
      <c r="E83">
        <v>1</v>
      </c>
      <c r="F83">
        <v>51000</v>
      </c>
      <c r="G83">
        <v>1</v>
      </c>
      <c r="H83">
        <v>10</v>
      </c>
      <c r="I83">
        <v>15</v>
      </c>
    </row>
    <row r="84" spans="1:9" x14ac:dyDescent="0.3">
      <c r="A84" t="s">
        <v>128</v>
      </c>
      <c r="B84" t="s">
        <v>43</v>
      </c>
      <c r="C84" t="s">
        <v>44</v>
      </c>
      <c r="D84" s="6">
        <v>34349</v>
      </c>
      <c r="E84">
        <v>24</v>
      </c>
      <c r="F84">
        <v>41440</v>
      </c>
      <c r="G84">
        <v>1</v>
      </c>
      <c r="H84">
        <v>6</v>
      </c>
      <c r="I84">
        <v>7</v>
      </c>
    </row>
    <row r="85" spans="1:9" x14ac:dyDescent="0.3">
      <c r="A85" t="s">
        <v>129</v>
      </c>
      <c r="B85" t="s">
        <v>53</v>
      </c>
      <c r="C85" t="s">
        <v>44</v>
      </c>
      <c r="D85" s="6">
        <v>25313</v>
      </c>
      <c r="E85">
        <v>1</v>
      </c>
      <c r="F85">
        <v>26520</v>
      </c>
      <c r="G85">
        <v>1</v>
      </c>
      <c r="H85">
        <v>6</v>
      </c>
      <c r="I85">
        <v>3</v>
      </c>
    </row>
    <row r="86" spans="1:9" x14ac:dyDescent="0.3">
      <c r="A86" t="s">
        <v>130</v>
      </c>
      <c r="B86" t="s">
        <v>43</v>
      </c>
      <c r="C86" t="s">
        <v>44</v>
      </c>
      <c r="D86" s="6">
        <v>25407</v>
      </c>
      <c r="E86">
        <v>32</v>
      </c>
      <c r="F86">
        <v>42640</v>
      </c>
      <c r="G86">
        <v>1</v>
      </c>
      <c r="H86">
        <v>8</v>
      </c>
      <c r="I86">
        <v>3</v>
      </c>
    </row>
    <row r="87" spans="1:9" x14ac:dyDescent="0.3">
      <c r="A87" t="s">
        <v>131</v>
      </c>
      <c r="B87" t="s">
        <v>53</v>
      </c>
      <c r="C87" t="s">
        <v>44</v>
      </c>
      <c r="D87" s="6">
        <v>25570</v>
      </c>
      <c r="E87">
        <v>3</v>
      </c>
      <c r="F87">
        <v>29680</v>
      </c>
      <c r="G87">
        <v>3</v>
      </c>
      <c r="H87">
        <v>9</v>
      </c>
      <c r="I87">
        <v>7</v>
      </c>
    </row>
    <row r="88" spans="1:9" x14ac:dyDescent="0.3">
      <c r="A88" t="s">
        <v>132</v>
      </c>
      <c r="B88" t="s">
        <v>53</v>
      </c>
      <c r="C88" t="s">
        <v>46</v>
      </c>
      <c r="D88" s="6">
        <v>30488</v>
      </c>
      <c r="E88">
        <v>1</v>
      </c>
      <c r="F88">
        <v>40800</v>
      </c>
      <c r="G88">
        <v>1</v>
      </c>
      <c r="H88">
        <v>2</v>
      </c>
      <c r="I88">
        <v>4</v>
      </c>
    </row>
    <row r="89" spans="1:9" x14ac:dyDescent="0.3">
      <c r="A89" t="s">
        <v>133</v>
      </c>
      <c r="B89" t="s">
        <v>43</v>
      </c>
      <c r="C89" t="s">
        <v>44</v>
      </c>
      <c r="D89" s="6">
        <v>25470</v>
      </c>
      <c r="E89">
        <v>35</v>
      </c>
      <c r="F89">
        <v>51000</v>
      </c>
      <c r="G89">
        <v>2</v>
      </c>
      <c r="H89">
        <v>4</v>
      </c>
      <c r="I89">
        <v>6</v>
      </c>
    </row>
    <row r="90" spans="1:9" x14ac:dyDescent="0.3">
      <c r="A90" t="s">
        <v>134</v>
      </c>
      <c r="B90" t="s">
        <v>53</v>
      </c>
      <c r="C90" t="s">
        <v>44</v>
      </c>
      <c r="D90" s="6">
        <v>26991</v>
      </c>
      <c r="E90">
        <v>17</v>
      </c>
      <c r="F90">
        <v>40200</v>
      </c>
      <c r="G90">
        <v>1</v>
      </c>
      <c r="H90">
        <v>9</v>
      </c>
      <c r="I90">
        <v>6</v>
      </c>
    </row>
    <row r="91" spans="1:9" x14ac:dyDescent="0.3">
      <c r="A91" t="s">
        <v>135</v>
      </c>
      <c r="B91" t="s">
        <v>53</v>
      </c>
      <c r="C91" t="s">
        <v>44</v>
      </c>
      <c r="D91" s="6">
        <v>33054</v>
      </c>
      <c r="E91">
        <v>1</v>
      </c>
      <c r="F91">
        <v>25500</v>
      </c>
      <c r="G91">
        <v>1</v>
      </c>
      <c r="H91">
        <v>8</v>
      </c>
      <c r="I91">
        <v>1</v>
      </c>
    </row>
    <row r="92" spans="1:9" x14ac:dyDescent="0.3">
      <c r="A92" t="s">
        <v>136</v>
      </c>
      <c r="B92" t="s">
        <v>53</v>
      </c>
      <c r="C92" t="s">
        <v>46</v>
      </c>
      <c r="D92" s="6">
        <v>34877</v>
      </c>
      <c r="E92">
        <v>1</v>
      </c>
      <c r="F92">
        <v>66300</v>
      </c>
      <c r="G92">
        <v>1</v>
      </c>
      <c r="H92">
        <v>6</v>
      </c>
      <c r="I92">
        <v>9</v>
      </c>
    </row>
    <row r="93" spans="1:9" x14ac:dyDescent="0.3">
      <c r="A93" t="s">
        <v>137</v>
      </c>
      <c r="B93" t="s">
        <v>43</v>
      </c>
      <c r="C93" t="s">
        <v>44</v>
      </c>
      <c r="D93" s="6">
        <v>34081</v>
      </c>
      <c r="E93">
        <v>27</v>
      </c>
      <c r="F93">
        <v>49280</v>
      </c>
      <c r="G93">
        <v>1</v>
      </c>
      <c r="H93">
        <v>11</v>
      </c>
      <c r="I93">
        <v>2</v>
      </c>
    </row>
    <row r="94" spans="1:9" x14ac:dyDescent="0.3">
      <c r="A94" t="s">
        <v>138</v>
      </c>
      <c r="B94" t="s">
        <v>53</v>
      </c>
      <c r="C94" t="s">
        <v>46</v>
      </c>
      <c r="D94" s="6">
        <v>23834</v>
      </c>
      <c r="E94">
        <v>15</v>
      </c>
      <c r="F94">
        <v>33800</v>
      </c>
      <c r="G94">
        <v>1</v>
      </c>
      <c r="H94">
        <v>5</v>
      </c>
      <c r="I94">
        <v>3</v>
      </c>
    </row>
    <row r="95" spans="1:9" x14ac:dyDescent="0.3">
      <c r="A95" t="s">
        <v>139</v>
      </c>
      <c r="B95" t="s">
        <v>53</v>
      </c>
      <c r="C95" t="s">
        <v>44</v>
      </c>
      <c r="D95" s="6">
        <v>31336</v>
      </c>
      <c r="E95">
        <v>18</v>
      </c>
      <c r="F95">
        <v>81600</v>
      </c>
      <c r="G95">
        <v>1</v>
      </c>
      <c r="H95">
        <v>3</v>
      </c>
      <c r="I95">
        <v>8</v>
      </c>
    </row>
    <row r="96" spans="1:9" x14ac:dyDescent="0.3">
      <c r="A96" t="s">
        <v>140</v>
      </c>
      <c r="B96" t="s">
        <v>53</v>
      </c>
      <c r="C96" t="s">
        <v>46</v>
      </c>
      <c r="D96" s="6">
        <v>37847</v>
      </c>
      <c r="E96">
        <v>1</v>
      </c>
      <c r="F96">
        <v>66300</v>
      </c>
      <c r="G96">
        <v>1</v>
      </c>
      <c r="H96">
        <v>3</v>
      </c>
      <c r="I96">
        <v>9</v>
      </c>
    </row>
    <row r="97" spans="1:9" x14ac:dyDescent="0.3">
      <c r="A97" t="s">
        <v>141</v>
      </c>
      <c r="B97" t="s">
        <v>53</v>
      </c>
      <c r="C97" t="s">
        <v>44</v>
      </c>
      <c r="D97" s="6">
        <v>35055</v>
      </c>
      <c r="E97">
        <v>1</v>
      </c>
      <c r="F97">
        <v>40800</v>
      </c>
      <c r="G97">
        <v>1</v>
      </c>
      <c r="H97">
        <v>6</v>
      </c>
      <c r="I97">
        <v>4</v>
      </c>
    </row>
    <row r="98" spans="1:9" x14ac:dyDescent="0.3">
      <c r="A98" t="s">
        <v>142</v>
      </c>
      <c r="B98" t="s">
        <v>53</v>
      </c>
      <c r="C98" t="s">
        <v>46</v>
      </c>
      <c r="D98" s="6">
        <v>29194</v>
      </c>
      <c r="E98">
        <v>1</v>
      </c>
      <c r="F98">
        <v>32640</v>
      </c>
      <c r="G98">
        <v>2</v>
      </c>
      <c r="H98">
        <v>4</v>
      </c>
      <c r="I98">
        <v>2</v>
      </c>
    </row>
    <row r="99" spans="1:9" x14ac:dyDescent="0.3">
      <c r="A99" t="s">
        <v>143</v>
      </c>
      <c r="B99" t="s">
        <v>43</v>
      </c>
      <c r="C99" t="s">
        <v>44</v>
      </c>
      <c r="D99" s="6">
        <v>31076</v>
      </c>
      <c r="E99">
        <v>17</v>
      </c>
      <c r="F99">
        <v>33500</v>
      </c>
      <c r="G99">
        <v>1</v>
      </c>
      <c r="H99">
        <v>11</v>
      </c>
      <c r="I99">
        <v>1</v>
      </c>
    </row>
    <row r="100" spans="1:9" x14ac:dyDescent="0.3">
      <c r="A100" t="s">
        <v>144</v>
      </c>
      <c r="B100" t="s">
        <v>43</v>
      </c>
      <c r="C100" t="s">
        <v>46</v>
      </c>
      <c r="D100" s="6">
        <v>36583</v>
      </c>
      <c r="E100">
        <v>1</v>
      </c>
      <c r="F100">
        <v>30600</v>
      </c>
      <c r="G100">
        <v>1</v>
      </c>
      <c r="H100">
        <v>9</v>
      </c>
      <c r="I100">
        <v>6</v>
      </c>
    </row>
    <row r="101" spans="1:9" x14ac:dyDescent="0.3">
      <c r="A101" t="s">
        <v>145</v>
      </c>
      <c r="B101" t="s">
        <v>53</v>
      </c>
      <c r="C101" t="s">
        <v>44</v>
      </c>
      <c r="D101" s="6">
        <v>35130</v>
      </c>
      <c r="E101">
        <v>1</v>
      </c>
      <c r="F101">
        <v>26520</v>
      </c>
      <c r="G101">
        <v>3</v>
      </c>
      <c r="H101">
        <v>6</v>
      </c>
      <c r="I101">
        <v>3</v>
      </c>
    </row>
    <row r="102" spans="1:9" x14ac:dyDescent="0.3">
      <c r="A102" t="s">
        <v>146</v>
      </c>
      <c r="B102" t="s">
        <v>53</v>
      </c>
      <c r="C102" t="s">
        <v>44</v>
      </c>
      <c r="D102" s="6">
        <v>30293</v>
      </c>
      <c r="E102">
        <v>10</v>
      </c>
      <c r="F102">
        <v>32400</v>
      </c>
      <c r="G102">
        <v>3</v>
      </c>
      <c r="H102">
        <v>7</v>
      </c>
      <c r="I102">
        <v>5</v>
      </c>
    </row>
    <row r="103" spans="1:9" x14ac:dyDescent="0.3">
      <c r="A103" t="s">
        <v>147</v>
      </c>
      <c r="B103" t="s">
        <v>53</v>
      </c>
      <c r="C103" t="s">
        <v>44</v>
      </c>
      <c r="D103" s="6">
        <v>26835</v>
      </c>
      <c r="E103">
        <v>1</v>
      </c>
      <c r="F103">
        <v>51000</v>
      </c>
      <c r="G103">
        <v>3</v>
      </c>
      <c r="H103">
        <v>1</v>
      </c>
      <c r="I103">
        <v>15</v>
      </c>
    </row>
    <row r="104" spans="1:9" x14ac:dyDescent="0.3">
      <c r="A104" t="s">
        <v>148</v>
      </c>
      <c r="B104" t="s">
        <v>43</v>
      </c>
      <c r="C104" t="s">
        <v>46</v>
      </c>
      <c r="D104" s="6">
        <v>28584</v>
      </c>
      <c r="E104">
        <v>1</v>
      </c>
      <c r="F104">
        <v>40800</v>
      </c>
      <c r="G104">
        <v>1</v>
      </c>
      <c r="H104">
        <v>6</v>
      </c>
      <c r="I104">
        <v>4</v>
      </c>
    </row>
    <row r="105" spans="1:9" x14ac:dyDescent="0.3">
      <c r="A105" t="s">
        <v>149</v>
      </c>
      <c r="B105" t="s">
        <v>43</v>
      </c>
      <c r="C105" t="s">
        <v>46</v>
      </c>
      <c r="D105" s="6">
        <v>35747</v>
      </c>
      <c r="E105">
        <v>10</v>
      </c>
      <c r="F105">
        <v>78000</v>
      </c>
      <c r="G105">
        <v>1</v>
      </c>
      <c r="H105">
        <v>10</v>
      </c>
      <c r="I105">
        <v>9</v>
      </c>
    </row>
    <row r="106" spans="1:9" x14ac:dyDescent="0.3">
      <c r="A106" t="s">
        <v>150</v>
      </c>
      <c r="B106" t="s">
        <v>53</v>
      </c>
      <c r="C106" t="s">
        <v>44</v>
      </c>
      <c r="D106" s="6">
        <v>37930</v>
      </c>
      <c r="E106">
        <v>1</v>
      </c>
      <c r="F106">
        <v>25500</v>
      </c>
      <c r="G106">
        <v>2</v>
      </c>
      <c r="H106">
        <v>9</v>
      </c>
      <c r="I106">
        <v>1</v>
      </c>
    </row>
    <row r="107" spans="1:9" x14ac:dyDescent="0.3">
      <c r="A107" t="s">
        <v>151</v>
      </c>
      <c r="B107" t="s">
        <v>43</v>
      </c>
      <c r="C107" t="s">
        <v>44</v>
      </c>
      <c r="D107" s="6">
        <v>25759</v>
      </c>
      <c r="E107">
        <v>1</v>
      </c>
      <c r="F107">
        <v>51000</v>
      </c>
      <c r="G107">
        <v>1</v>
      </c>
      <c r="H107">
        <v>6</v>
      </c>
      <c r="I107">
        <v>15</v>
      </c>
    </row>
    <row r="108" spans="1:9" x14ac:dyDescent="0.3">
      <c r="A108" t="s">
        <v>152</v>
      </c>
      <c r="B108" t="s">
        <v>53</v>
      </c>
      <c r="C108" t="s">
        <v>44</v>
      </c>
      <c r="D108" s="6">
        <v>28945</v>
      </c>
      <c r="E108">
        <v>1</v>
      </c>
      <c r="F108">
        <v>25500</v>
      </c>
      <c r="G108">
        <v>1</v>
      </c>
      <c r="H108">
        <v>10</v>
      </c>
      <c r="I108">
        <v>1</v>
      </c>
    </row>
    <row r="109" spans="1:9" x14ac:dyDescent="0.3">
      <c r="A109" t="s">
        <v>153</v>
      </c>
      <c r="B109" t="s">
        <v>53</v>
      </c>
      <c r="C109" t="s">
        <v>46</v>
      </c>
      <c r="D109" s="6">
        <v>36998</v>
      </c>
      <c r="E109">
        <v>7</v>
      </c>
      <c r="F109">
        <v>68400</v>
      </c>
      <c r="G109">
        <v>1</v>
      </c>
      <c r="H109">
        <v>10</v>
      </c>
      <c r="I109">
        <v>8</v>
      </c>
    </row>
    <row r="110" spans="1:9" x14ac:dyDescent="0.3">
      <c r="A110" t="s">
        <v>154</v>
      </c>
      <c r="B110" t="s">
        <v>43</v>
      </c>
      <c r="C110" t="s">
        <v>46</v>
      </c>
      <c r="D110" s="6">
        <v>29952</v>
      </c>
      <c r="E110">
        <v>1</v>
      </c>
      <c r="F110">
        <v>28560</v>
      </c>
      <c r="G110">
        <v>1</v>
      </c>
      <c r="H110">
        <v>3</v>
      </c>
      <c r="I110">
        <v>7</v>
      </c>
    </row>
    <row r="111" spans="1:9" x14ac:dyDescent="0.3">
      <c r="A111" t="s">
        <v>155</v>
      </c>
      <c r="B111" t="s">
        <v>53</v>
      </c>
      <c r="C111" t="s">
        <v>46</v>
      </c>
      <c r="D111" s="6">
        <v>31938</v>
      </c>
      <c r="E111">
        <v>10</v>
      </c>
      <c r="F111">
        <v>72000</v>
      </c>
      <c r="G111">
        <v>1</v>
      </c>
      <c r="H111">
        <v>6</v>
      </c>
      <c r="I111">
        <v>8</v>
      </c>
    </row>
    <row r="112" spans="1:9" x14ac:dyDescent="0.3">
      <c r="A112" t="s">
        <v>156</v>
      </c>
      <c r="B112" t="s">
        <v>53</v>
      </c>
      <c r="C112" t="s">
        <v>46</v>
      </c>
      <c r="D112" s="6">
        <v>31416</v>
      </c>
      <c r="E112">
        <v>34</v>
      </c>
      <c r="F112">
        <v>45360</v>
      </c>
      <c r="G112">
        <v>1</v>
      </c>
      <c r="H112">
        <v>5</v>
      </c>
      <c r="I112">
        <v>5</v>
      </c>
    </row>
    <row r="113" spans="1:9" x14ac:dyDescent="0.3">
      <c r="A113" t="s">
        <v>157</v>
      </c>
      <c r="B113" t="s">
        <v>53</v>
      </c>
      <c r="C113" t="s">
        <v>46</v>
      </c>
      <c r="D113" s="6">
        <v>28934</v>
      </c>
      <c r="E113">
        <v>11</v>
      </c>
      <c r="F113">
        <v>34160</v>
      </c>
      <c r="G113">
        <v>1</v>
      </c>
      <c r="H113">
        <v>6</v>
      </c>
      <c r="I113">
        <v>7</v>
      </c>
    </row>
    <row r="114" spans="1:9" x14ac:dyDescent="0.3">
      <c r="A114" t="s">
        <v>158</v>
      </c>
      <c r="B114" t="s">
        <v>43</v>
      </c>
      <c r="C114" t="s">
        <v>46</v>
      </c>
      <c r="D114" s="6">
        <v>29252</v>
      </c>
      <c r="E114">
        <v>10</v>
      </c>
      <c r="F114">
        <v>60000</v>
      </c>
      <c r="G114">
        <v>1</v>
      </c>
      <c r="H114">
        <v>6</v>
      </c>
      <c r="I114">
        <v>15</v>
      </c>
    </row>
    <row r="115" spans="1:9" x14ac:dyDescent="0.3">
      <c r="A115" t="s">
        <v>159</v>
      </c>
      <c r="B115" t="s">
        <v>43</v>
      </c>
      <c r="C115" t="s">
        <v>46</v>
      </c>
      <c r="D115" s="6">
        <v>23978</v>
      </c>
      <c r="E115">
        <v>8</v>
      </c>
      <c r="F115">
        <v>75400</v>
      </c>
      <c r="G115">
        <v>1</v>
      </c>
      <c r="H115">
        <v>9</v>
      </c>
      <c r="I115">
        <v>9</v>
      </c>
    </row>
    <row r="116" spans="1:9" x14ac:dyDescent="0.3">
      <c r="A116" t="s">
        <v>160</v>
      </c>
      <c r="B116" t="s">
        <v>53</v>
      </c>
      <c r="C116" t="s">
        <v>44</v>
      </c>
      <c r="D116" s="6">
        <v>23472</v>
      </c>
      <c r="E116">
        <v>16</v>
      </c>
      <c r="F116">
        <v>42240</v>
      </c>
      <c r="G116">
        <v>1</v>
      </c>
      <c r="H116">
        <v>3</v>
      </c>
      <c r="I116">
        <v>2</v>
      </c>
    </row>
    <row r="117" spans="1:9" x14ac:dyDescent="0.3">
      <c r="A117" t="s">
        <v>161</v>
      </c>
      <c r="B117" t="s">
        <v>43</v>
      </c>
      <c r="C117" t="s">
        <v>46</v>
      </c>
      <c r="D117" s="6">
        <v>34525</v>
      </c>
      <c r="E117">
        <v>5</v>
      </c>
      <c r="F117">
        <v>35200</v>
      </c>
      <c r="G117">
        <v>1</v>
      </c>
      <c r="H117">
        <v>4</v>
      </c>
      <c r="I117">
        <v>2</v>
      </c>
    </row>
    <row r="118" spans="1:9" x14ac:dyDescent="0.3">
      <c r="A118" t="s">
        <v>162</v>
      </c>
      <c r="B118" t="s">
        <v>53</v>
      </c>
      <c r="C118" t="s">
        <v>46</v>
      </c>
      <c r="D118" s="6">
        <v>31620</v>
      </c>
      <c r="E118">
        <v>7</v>
      </c>
      <c r="F118">
        <v>74100</v>
      </c>
      <c r="G118">
        <v>1</v>
      </c>
      <c r="H118">
        <v>10</v>
      </c>
      <c r="I118">
        <v>9</v>
      </c>
    </row>
    <row r="119" spans="1:9" x14ac:dyDescent="0.3">
      <c r="A119" t="s">
        <v>163</v>
      </c>
      <c r="B119" t="s">
        <v>43</v>
      </c>
      <c r="C119" t="s">
        <v>44</v>
      </c>
      <c r="D119" s="6">
        <v>29196</v>
      </c>
      <c r="E119">
        <v>9</v>
      </c>
      <c r="F119">
        <v>82600</v>
      </c>
      <c r="G119">
        <v>1</v>
      </c>
      <c r="H119">
        <v>5</v>
      </c>
      <c r="I119">
        <v>10</v>
      </c>
    </row>
    <row r="120" spans="1:9" x14ac:dyDescent="0.3">
      <c r="A120" t="s">
        <v>164</v>
      </c>
      <c r="B120" t="s">
        <v>53</v>
      </c>
      <c r="C120" t="s">
        <v>44</v>
      </c>
      <c r="D120" s="6">
        <v>30440</v>
      </c>
      <c r="E120">
        <v>27</v>
      </c>
      <c r="F120">
        <v>107800</v>
      </c>
      <c r="G120">
        <v>1</v>
      </c>
      <c r="H120">
        <v>11</v>
      </c>
      <c r="I120">
        <v>10</v>
      </c>
    </row>
    <row r="121" spans="1:9" x14ac:dyDescent="0.3">
      <c r="A121" t="s">
        <v>165</v>
      </c>
      <c r="B121" t="s">
        <v>53</v>
      </c>
      <c r="C121" t="s">
        <v>46</v>
      </c>
      <c r="D121" s="6">
        <v>33755</v>
      </c>
      <c r="E121">
        <v>5</v>
      </c>
      <c r="F121">
        <v>27500</v>
      </c>
      <c r="G121">
        <v>1</v>
      </c>
      <c r="H121">
        <v>1</v>
      </c>
      <c r="I121">
        <v>1</v>
      </c>
    </row>
    <row r="122" spans="1:9" x14ac:dyDescent="0.3">
      <c r="A122" t="s">
        <v>166</v>
      </c>
      <c r="B122" t="s">
        <v>53</v>
      </c>
      <c r="C122" t="s">
        <v>46</v>
      </c>
      <c r="D122" s="6">
        <v>25630</v>
      </c>
      <c r="E122">
        <v>6</v>
      </c>
      <c r="F122">
        <v>72800</v>
      </c>
      <c r="G122">
        <v>3</v>
      </c>
      <c r="H122">
        <v>1</v>
      </c>
      <c r="I122">
        <v>9</v>
      </c>
    </row>
    <row r="123" spans="1:9" x14ac:dyDescent="0.3">
      <c r="A123" t="s">
        <v>167</v>
      </c>
      <c r="B123" t="s">
        <v>43</v>
      </c>
      <c r="C123" t="s">
        <v>46</v>
      </c>
      <c r="D123" s="6">
        <v>30022</v>
      </c>
      <c r="E123">
        <v>26</v>
      </c>
      <c r="F123">
        <v>45600</v>
      </c>
      <c r="G123">
        <v>1</v>
      </c>
      <c r="H123">
        <v>4</v>
      </c>
      <c r="I123">
        <v>6</v>
      </c>
    </row>
    <row r="124" spans="1:9" x14ac:dyDescent="0.3">
      <c r="A124" t="s">
        <v>168</v>
      </c>
      <c r="B124" t="s">
        <v>53</v>
      </c>
      <c r="C124" t="s">
        <v>44</v>
      </c>
      <c r="D124" s="6">
        <v>30813</v>
      </c>
      <c r="E124">
        <v>22</v>
      </c>
      <c r="F124">
        <v>86400</v>
      </c>
      <c r="G124">
        <v>3</v>
      </c>
      <c r="H124">
        <v>4</v>
      </c>
      <c r="I124">
        <v>8</v>
      </c>
    </row>
    <row r="125" spans="1:9" x14ac:dyDescent="0.3">
      <c r="A125" t="s">
        <v>169</v>
      </c>
      <c r="B125" t="s">
        <v>43</v>
      </c>
      <c r="C125" t="s">
        <v>44</v>
      </c>
      <c r="D125" s="6">
        <v>29927</v>
      </c>
      <c r="E125">
        <v>1</v>
      </c>
      <c r="F125">
        <v>71400</v>
      </c>
      <c r="G125">
        <v>1</v>
      </c>
      <c r="H125">
        <v>10</v>
      </c>
      <c r="I125">
        <v>10</v>
      </c>
    </row>
    <row r="126" spans="1:9" x14ac:dyDescent="0.3">
      <c r="A126" t="s">
        <v>170</v>
      </c>
      <c r="B126" t="s">
        <v>43</v>
      </c>
      <c r="C126" t="s">
        <v>46</v>
      </c>
      <c r="D126" s="6">
        <v>37089</v>
      </c>
      <c r="E126">
        <v>1</v>
      </c>
      <c r="F126">
        <v>26520</v>
      </c>
      <c r="G126">
        <v>2</v>
      </c>
      <c r="H126">
        <v>1</v>
      </c>
      <c r="I126">
        <v>3</v>
      </c>
    </row>
    <row r="127" spans="1:9" x14ac:dyDescent="0.3">
      <c r="A127" t="s">
        <v>171</v>
      </c>
      <c r="B127" t="s">
        <v>43</v>
      </c>
      <c r="C127" t="s">
        <v>46</v>
      </c>
      <c r="D127" s="6">
        <v>27444</v>
      </c>
      <c r="E127">
        <v>13</v>
      </c>
      <c r="F127">
        <v>37800</v>
      </c>
      <c r="G127">
        <v>3</v>
      </c>
      <c r="H127">
        <v>4</v>
      </c>
      <c r="I127">
        <v>6</v>
      </c>
    </row>
    <row r="128" spans="1:9" x14ac:dyDescent="0.3">
      <c r="A128" t="s">
        <v>172</v>
      </c>
      <c r="B128" t="s">
        <v>43</v>
      </c>
      <c r="C128" t="s">
        <v>44</v>
      </c>
      <c r="D128" s="6">
        <v>23816</v>
      </c>
      <c r="E128">
        <v>4</v>
      </c>
      <c r="F128">
        <v>29160</v>
      </c>
      <c r="G128">
        <v>1</v>
      </c>
      <c r="H128">
        <v>5</v>
      </c>
      <c r="I128">
        <v>5</v>
      </c>
    </row>
    <row r="129" spans="1:9" x14ac:dyDescent="0.3">
      <c r="A129" t="s">
        <v>173</v>
      </c>
      <c r="B129" t="s">
        <v>43</v>
      </c>
      <c r="C129" t="s">
        <v>46</v>
      </c>
      <c r="D129" s="6">
        <v>23583</v>
      </c>
      <c r="E129">
        <v>1</v>
      </c>
      <c r="F129">
        <v>66300</v>
      </c>
      <c r="G129">
        <v>1</v>
      </c>
      <c r="H129">
        <v>10</v>
      </c>
      <c r="I129">
        <v>9</v>
      </c>
    </row>
    <row r="130" spans="1:9" x14ac:dyDescent="0.3">
      <c r="A130" t="s">
        <v>174</v>
      </c>
      <c r="B130" t="s">
        <v>53</v>
      </c>
      <c r="C130" t="s">
        <v>44</v>
      </c>
      <c r="D130" s="6">
        <v>37134</v>
      </c>
      <c r="E130">
        <v>1</v>
      </c>
      <c r="F130">
        <v>51000</v>
      </c>
      <c r="G130">
        <v>1</v>
      </c>
      <c r="H130">
        <v>8</v>
      </c>
      <c r="I130">
        <v>15</v>
      </c>
    </row>
    <row r="131" spans="1:9" x14ac:dyDescent="0.3">
      <c r="A131" t="s">
        <v>175</v>
      </c>
      <c r="B131" t="s">
        <v>43</v>
      </c>
      <c r="C131" t="s">
        <v>46</v>
      </c>
      <c r="D131" s="6">
        <v>28903</v>
      </c>
      <c r="E131">
        <v>6</v>
      </c>
      <c r="F131">
        <v>56000</v>
      </c>
      <c r="G131">
        <v>1</v>
      </c>
      <c r="H131">
        <v>6</v>
      </c>
      <c r="I131">
        <v>15</v>
      </c>
    </row>
    <row r="132" spans="1:9" x14ac:dyDescent="0.3">
      <c r="A132" t="s">
        <v>176</v>
      </c>
      <c r="B132" t="s">
        <v>53</v>
      </c>
      <c r="C132" t="s">
        <v>44</v>
      </c>
      <c r="D132" s="6">
        <v>37722</v>
      </c>
      <c r="E132">
        <v>1</v>
      </c>
      <c r="F132">
        <v>32640</v>
      </c>
      <c r="G132">
        <v>1</v>
      </c>
      <c r="H132">
        <v>4</v>
      </c>
      <c r="I132">
        <v>2</v>
      </c>
    </row>
    <row r="133" spans="1:9" x14ac:dyDescent="0.3">
      <c r="A133" t="s">
        <v>177</v>
      </c>
      <c r="B133" t="s">
        <v>43</v>
      </c>
      <c r="C133" t="s">
        <v>46</v>
      </c>
      <c r="D133" s="6">
        <v>25568</v>
      </c>
      <c r="E133">
        <v>1</v>
      </c>
      <c r="F133">
        <v>26520</v>
      </c>
      <c r="G133">
        <v>1</v>
      </c>
      <c r="H133">
        <v>1</v>
      </c>
      <c r="I133">
        <v>3</v>
      </c>
    </row>
    <row r="134" spans="1:9" x14ac:dyDescent="0.3">
      <c r="A134" t="s">
        <v>178</v>
      </c>
      <c r="B134" t="s">
        <v>53</v>
      </c>
      <c r="C134" t="s">
        <v>44</v>
      </c>
      <c r="D134" s="6">
        <v>37816</v>
      </c>
      <c r="E134">
        <v>28</v>
      </c>
      <c r="F134">
        <v>39000</v>
      </c>
      <c r="G134">
        <v>1</v>
      </c>
      <c r="H134">
        <v>8</v>
      </c>
      <c r="I134">
        <v>1</v>
      </c>
    </row>
    <row r="135" spans="1:9" x14ac:dyDescent="0.3">
      <c r="A135" t="s">
        <v>179</v>
      </c>
      <c r="B135" t="s">
        <v>43</v>
      </c>
      <c r="C135" t="s">
        <v>46</v>
      </c>
      <c r="D135" s="6">
        <v>37322</v>
      </c>
      <c r="E135">
        <v>11</v>
      </c>
      <c r="F135">
        <v>31720</v>
      </c>
      <c r="G135">
        <v>1</v>
      </c>
      <c r="H135">
        <v>3</v>
      </c>
      <c r="I135">
        <v>3</v>
      </c>
    </row>
    <row r="136" spans="1:9" x14ac:dyDescent="0.3">
      <c r="A136" t="s">
        <v>180</v>
      </c>
      <c r="B136" t="s">
        <v>53</v>
      </c>
      <c r="C136" t="s">
        <v>46</v>
      </c>
      <c r="D136" s="6">
        <v>27846</v>
      </c>
      <c r="E136">
        <v>1</v>
      </c>
      <c r="F136">
        <v>51000</v>
      </c>
      <c r="G136">
        <v>1</v>
      </c>
      <c r="H136">
        <v>1</v>
      </c>
      <c r="I136">
        <v>15</v>
      </c>
    </row>
    <row r="137" spans="1:9" x14ac:dyDescent="0.3">
      <c r="A137" t="s">
        <v>181</v>
      </c>
      <c r="B137" t="s">
        <v>53</v>
      </c>
      <c r="C137" t="s">
        <v>44</v>
      </c>
      <c r="D137" s="6">
        <v>29174</v>
      </c>
      <c r="E137">
        <v>3</v>
      </c>
      <c r="F137">
        <v>74200</v>
      </c>
      <c r="G137">
        <v>1</v>
      </c>
      <c r="H137">
        <v>7</v>
      </c>
      <c r="I137">
        <v>10</v>
      </c>
    </row>
    <row r="138" spans="1:9" x14ac:dyDescent="0.3">
      <c r="A138" t="s">
        <v>182</v>
      </c>
      <c r="B138" t="s">
        <v>53</v>
      </c>
      <c r="C138" t="s">
        <v>44</v>
      </c>
      <c r="D138" s="6">
        <v>33081</v>
      </c>
      <c r="E138">
        <v>10</v>
      </c>
      <c r="F138">
        <v>32400</v>
      </c>
      <c r="G138">
        <v>1</v>
      </c>
      <c r="H138">
        <v>10</v>
      </c>
      <c r="I138">
        <v>5</v>
      </c>
    </row>
    <row r="139" spans="1:9" x14ac:dyDescent="0.3">
      <c r="A139" t="s">
        <v>183</v>
      </c>
      <c r="B139" t="s">
        <v>43</v>
      </c>
      <c r="C139" t="s">
        <v>44</v>
      </c>
      <c r="D139" s="6">
        <v>28184</v>
      </c>
      <c r="E139">
        <v>5</v>
      </c>
      <c r="F139">
        <v>77000</v>
      </c>
      <c r="G139">
        <v>1</v>
      </c>
      <c r="H139">
        <v>3</v>
      </c>
      <c r="I139">
        <v>10</v>
      </c>
    </row>
    <row r="140" spans="1:9" x14ac:dyDescent="0.3">
      <c r="A140" t="s">
        <v>184</v>
      </c>
      <c r="B140" t="s">
        <v>53</v>
      </c>
      <c r="C140" t="s">
        <v>44</v>
      </c>
      <c r="D140" s="6">
        <v>29572</v>
      </c>
      <c r="E140">
        <v>1</v>
      </c>
      <c r="F140">
        <v>30600</v>
      </c>
      <c r="G140">
        <v>1</v>
      </c>
      <c r="H140">
        <v>11</v>
      </c>
      <c r="I140">
        <v>6</v>
      </c>
    </row>
    <row r="141" spans="1:9" x14ac:dyDescent="0.3">
      <c r="A141" t="s">
        <v>185</v>
      </c>
      <c r="B141" t="s">
        <v>43</v>
      </c>
      <c r="C141" t="s">
        <v>44</v>
      </c>
      <c r="D141" s="6">
        <v>35466</v>
      </c>
      <c r="E141">
        <v>10</v>
      </c>
      <c r="F141">
        <v>36000</v>
      </c>
      <c r="G141">
        <v>1</v>
      </c>
      <c r="H141">
        <v>11</v>
      </c>
      <c r="I141">
        <v>6</v>
      </c>
    </row>
    <row r="142" spans="1:9" x14ac:dyDescent="0.3">
      <c r="A142" t="s">
        <v>186</v>
      </c>
      <c r="B142" t="s">
        <v>53</v>
      </c>
      <c r="C142" t="s">
        <v>46</v>
      </c>
      <c r="D142" s="6">
        <v>30372</v>
      </c>
      <c r="E142">
        <v>1</v>
      </c>
      <c r="F142">
        <v>51000</v>
      </c>
      <c r="G142">
        <v>1</v>
      </c>
      <c r="H142">
        <v>5</v>
      </c>
      <c r="I142">
        <v>15</v>
      </c>
    </row>
    <row r="143" spans="1:9" x14ac:dyDescent="0.3">
      <c r="A143" t="s">
        <v>187</v>
      </c>
      <c r="B143" t="s">
        <v>43</v>
      </c>
      <c r="C143" t="s">
        <v>44</v>
      </c>
      <c r="D143" s="6">
        <v>34386</v>
      </c>
      <c r="E143">
        <v>9</v>
      </c>
      <c r="F143">
        <v>37760</v>
      </c>
      <c r="G143">
        <v>1</v>
      </c>
      <c r="H143">
        <v>2</v>
      </c>
      <c r="I143">
        <v>2</v>
      </c>
    </row>
    <row r="144" spans="1:9" x14ac:dyDescent="0.3">
      <c r="A144" t="s">
        <v>188</v>
      </c>
      <c r="B144" t="s">
        <v>43</v>
      </c>
      <c r="C144" t="s">
        <v>44</v>
      </c>
      <c r="D144" s="6">
        <v>36690</v>
      </c>
      <c r="E144">
        <v>1</v>
      </c>
      <c r="F144">
        <v>40800</v>
      </c>
      <c r="G144">
        <v>2</v>
      </c>
      <c r="H144">
        <v>3</v>
      </c>
      <c r="I144">
        <v>4</v>
      </c>
    </row>
    <row r="145" spans="1:9" x14ac:dyDescent="0.3">
      <c r="A145" t="s">
        <v>189</v>
      </c>
      <c r="B145" t="s">
        <v>53</v>
      </c>
      <c r="C145" t="s">
        <v>44</v>
      </c>
      <c r="D145" s="6">
        <v>28334</v>
      </c>
      <c r="E145">
        <v>10</v>
      </c>
      <c r="F145">
        <v>38400</v>
      </c>
      <c r="G145">
        <v>2</v>
      </c>
      <c r="H145">
        <v>11</v>
      </c>
      <c r="I145">
        <v>2</v>
      </c>
    </row>
    <row r="146" spans="1:9" x14ac:dyDescent="0.3">
      <c r="A146" t="s">
        <v>190</v>
      </c>
      <c r="B146" t="s">
        <v>43</v>
      </c>
      <c r="C146" t="s">
        <v>44</v>
      </c>
      <c r="D146" s="6">
        <v>35227</v>
      </c>
      <c r="E146">
        <v>5</v>
      </c>
      <c r="F146">
        <v>55000</v>
      </c>
      <c r="G146">
        <v>1</v>
      </c>
      <c r="H146">
        <v>9</v>
      </c>
      <c r="I146">
        <v>15</v>
      </c>
    </row>
    <row r="147" spans="1:9" x14ac:dyDescent="0.3">
      <c r="A147" t="s">
        <v>191</v>
      </c>
      <c r="B147" t="s">
        <v>53</v>
      </c>
      <c r="C147" t="s">
        <v>46</v>
      </c>
      <c r="D147" s="6">
        <v>30797</v>
      </c>
      <c r="E147">
        <v>9</v>
      </c>
      <c r="F147">
        <v>59000</v>
      </c>
      <c r="G147">
        <v>2</v>
      </c>
      <c r="H147">
        <v>8</v>
      </c>
      <c r="I147">
        <v>15</v>
      </c>
    </row>
    <row r="148" spans="1:9" x14ac:dyDescent="0.3">
      <c r="A148" t="s">
        <v>192</v>
      </c>
      <c r="B148" t="s">
        <v>43</v>
      </c>
      <c r="C148" t="s">
        <v>44</v>
      </c>
      <c r="D148" s="6">
        <v>32828</v>
      </c>
      <c r="E148">
        <v>27</v>
      </c>
      <c r="F148">
        <v>46200</v>
      </c>
      <c r="G148">
        <v>2</v>
      </c>
      <c r="H148">
        <v>10</v>
      </c>
      <c r="I148">
        <v>6</v>
      </c>
    </row>
    <row r="149" spans="1:9" x14ac:dyDescent="0.3">
      <c r="A149" t="s">
        <v>193</v>
      </c>
      <c r="B149" t="s">
        <v>53</v>
      </c>
      <c r="C149" t="s">
        <v>46</v>
      </c>
      <c r="D149" s="6">
        <v>26285</v>
      </c>
      <c r="E149">
        <v>1</v>
      </c>
      <c r="F149">
        <v>28560</v>
      </c>
      <c r="G149">
        <v>2</v>
      </c>
      <c r="H149">
        <v>1</v>
      </c>
      <c r="I149">
        <v>7</v>
      </c>
    </row>
    <row r="150" spans="1:9" x14ac:dyDescent="0.3">
      <c r="A150" t="s">
        <v>194</v>
      </c>
      <c r="B150" t="s">
        <v>43</v>
      </c>
      <c r="C150" t="s">
        <v>46</v>
      </c>
      <c r="D150" s="6">
        <v>34962</v>
      </c>
      <c r="E150">
        <v>10</v>
      </c>
      <c r="F150">
        <v>78000</v>
      </c>
      <c r="G150">
        <v>1</v>
      </c>
      <c r="H150">
        <v>8</v>
      </c>
      <c r="I150">
        <v>9</v>
      </c>
    </row>
    <row r="151" spans="1:9" x14ac:dyDescent="0.3">
      <c r="A151" t="s">
        <v>195</v>
      </c>
      <c r="B151" t="s">
        <v>43</v>
      </c>
      <c r="C151" t="s">
        <v>46</v>
      </c>
      <c r="D151" s="6">
        <v>30525</v>
      </c>
      <c r="E151">
        <v>28</v>
      </c>
      <c r="F151">
        <v>78000</v>
      </c>
      <c r="G151">
        <v>3</v>
      </c>
      <c r="H151">
        <v>3</v>
      </c>
      <c r="I151">
        <v>15</v>
      </c>
    </row>
    <row r="152" spans="1:9" x14ac:dyDescent="0.3">
      <c r="A152" t="s">
        <v>196</v>
      </c>
      <c r="B152" t="s">
        <v>53</v>
      </c>
      <c r="C152" t="s">
        <v>46</v>
      </c>
      <c r="D152" s="6">
        <v>35231</v>
      </c>
      <c r="E152">
        <v>30</v>
      </c>
      <c r="F152">
        <v>48000</v>
      </c>
      <c r="G152">
        <v>1</v>
      </c>
      <c r="H152">
        <v>10</v>
      </c>
      <c r="I152">
        <v>6</v>
      </c>
    </row>
    <row r="153" spans="1:9" x14ac:dyDescent="0.3">
      <c r="A153" t="s">
        <v>197</v>
      </c>
      <c r="B153" t="s">
        <v>43</v>
      </c>
      <c r="C153" t="s">
        <v>46</v>
      </c>
      <c r="D153" s="6">
        <v>36601</v>
      </c>
      <c r="E153">
        <v>20</v>
      </c>
      <c r="F153">
        <v>91000</v>
      </c>
      <c r="G153">
        <v>1</v>
      </c>
      <c r="H153">
        <v>8</v>
      </c>
      <c r="I153">
        <v>9</v>
      </c>
    </row>
    <row r="154" spans="1:9" x14ac:dyDescent="0.3">
      <c r="A154" t="s">
        <v>198</v>
      </c>
      <c r="B154" t="s">
        <v>53</v>
      </c>
      <c r="C154" t="s">
        <v>44</v>
      </c>
      <c r="D154" s="6">
        <v>35519</v>
      </c>
      <c r="E154">
        <v>1</v>
      </c>
      <c r="F154">
        <v>30600</v>
      </c>
      <c r="G154">
        <v>2</v>
      </c>
      <c r="H154">
        <v>5</v>
      </c>
      <c r="I154">
        <v>6</v>
      </c>
    </row>
    <row r="155" spans="1:9" x14ac:dyDescent="0.3">
      <c r="A155" t="s">
        <v>199</v>
      </c>
      <c r="B155" t="s">
        <v>53</v>
      </c>
      <c r="C155" t="s">
        <v>44</v>
      </c>
      <c r="D155" s="6">
        <v>25136</v>
      </c>
      <c r="E155">
        <v>1</v>
      </c>
      <c r="F155">
        <v>32640</v>
      </c>
      <c r="G155">
        <v>1</v>
      </c>
      <c r="H155">
        <v>4</v>
      </c>
      <c r="I155">
        <v>2</v>
      </c>
    </row>
    <row r="156" spans="1:9" x14ac:dyDescent="0.3">
      <c r="A156" t="s">
        <v>200</v>
      </c>
      <c r="B156" t="s">
        <v>43</v>
      </c>
      <c r="C156" t="s">
        <v>46</v>
      </c>
      <c r="D156" s="6">
        <v>36637</v>
      </c>
      <c r="E156">
        <v>13</v>
      </c>
      <c r="F156">
        <v>35280</v>
      </c>
      <c r="G156">
        <v>1</v>
      </c>
      <c r="H156">
        <v>11</v>
      </c>
      <c r="I156">
        <v>7</v>
      </c>
    </row>
    <row r="157" spans="1:9" x14ac:dyDescent="0.3">
      <c r="A157" t="s">
        <v>201</v>
      </c>
      <c r="B157" t="s">
        <v>43</v>
      </c>
      <c r="C157" t="s">
        <v>44</v>
      </c>
      <c r="D157" s="6">
        <v>36354</v>
      </c>
      <c r="E157">
        <v>6</v>
      </c>
      <c r="F157">
        <v>28000</v>
      </c>
      <c r="G157">
        <v>1</v>
      </c>
      <c r="H157">
        <v>5</v>
      </c>
      <c r="I157">
        <v>1</v>
      </c>
    </row>
    <row r="158" spans="1:9" x14ac:dyDescent="0.3">
      <c r="A158" t="s">
        <v>202</v>
      </c>
      <c r="B158" t="s">
        <v>43</v>
      </c>
      <c r="C158" t="s">
        <v>44</v>
      </c>
      <c r="D158" s="6">
        <v>26549</v>
      </c>
      <c r="E158">
        <v>1</v>
      </c>
      <c r="F158">
        <v>40800</v>
      </c>
      <c r="G158">
        <v>1</v>
      </c>
      <c r="H158">
        <v>3</v>
      </c>
      <c r="I158">
        <v>4</v>
      </c>
    </row>
    <row r="159" spans="1:9" x14ac:dyDescent="0.3">
      <c r="A159" t="s">
        <v>203</v>
      </c>
      <c r="B159" t="s">
        <v>43</v>
      </c>
      <c r="C159" t="s">
        <v>44</v>
      </c>
      <c r="D159" s="6">
        <v>29699</v>
      </c>
      <c r="E159">
        <v>24</v>
      </c>
      <c r="F159">
        <v>103600</v>
      </c>
      <c r="G159">
        <v>1</v>
      </c>
      <c r="H159">
        <v>10</v>
      </c>
      <c r="I159">
        <v>10</v>
      </c>
    </row>
    <row r="160" spans="1:9" x14ac:dyDescent="0.3">
      <c r="A160" t="s">
        <v>204</v>
      </c>
      <c r="B160" t="s">
        <v>53</v>
      </c>
      <c r="C160" t="s">
        <v>46</v>
      </c>
      <c r="D160" s="6">
        <v>26248</v>
      </c>
      <c r="E160">
        <v>6</v>
      </c>
      <c r="F160">
        <v>78400</v>
      </c>
      <c r="G160">
        <v>3</v>
      </c>
      <c r="H160">
        <v>4</v>
      </c>
      <c r="I160">
        <v>10</v>
      </c>
    </row>
    <row r="161" spans="1:9" x14ac:dyDescent="0.3">
      <c r="A161" t="s">
        <v>205</v>
      </c>
      <c r="B161" t="s">
        <v>43</v>
      </c>
      <c r="C161" t="s">
        <v>44</v>
      </c>
      <c r="D161" s="6">
        <v>31435</v>
      </c>
      <c r="E161">
        <v>22</v>
      </c>
      <c r="F161">
        <v>86400</v>
      </c>
      <c r="G161">
        <v>1</v>
      </c>
      <c r="H161">
        <v>7</v>
      </c>
      <c r="I161">
        <v>8</v>
      </c>
    </row>
    <row r="162" spans="1:9" x14ac:dyDescent="0.3">
      <c r="A162" t="s">
        <v>206</v>
      </c>
      <c r="B162" t="s">
        <v>43</v>
      </c>
      <c r="C162" t="s">
        <v>44</v>
      </c>
      <c r="D162" s="6">
        <v>33737</v>
      </c>
      <c r="E162">
        <v>1</v>
      </c>
      <c r="F162">
        <v>61200</v>
      </c>
      <c r="G162">
        <v>1</v>
      </c>
      <c r="H162">
        <v>5</v>
      </c>
      <c r="I162">
        <v>8</v>
      </c>
    </row>
    <row r="163" spans="1:9" x14ac:dyDescent="0.3">
      <c r="A163" t="s">
        <v>207</v>
      </c>
      <c r="B163" t="s">
        <v>53</v>
      </c>
      <c r="C163" t="s">
        <v>46</v>
      </c>
      <c r="D163" s="6">
        <v>35836</v>
      </c>
      <c r="E163">
        <v>1</v>
      </c>
      <c r="F163">
        <v>28560</v>
      </c>
      <c r="G163">
        <v>2</v>
      </c>
      <c r="H163">
        <v>6</v>
      </c>
      <c r="I163">
        <v>7</v>
      </c>
    </row>
    <row r="164" spans="1:9" x14ac:dyDescent="0.3">
      <c r="A164" t="s">
        <v>208</v>
      </c>
      <c r="B164" t="s">
        <v>53</v>
      </c>
      <c r="C164" t="s">
        <v>46</v>
      </c>
      <c r="D164" s="6">
        <v>25366</v>
      </c>
      <c r="E164">
        <v>29</v>
      </c>
      <c r="F164">
        <v>39500</v>
      </c>
      <c r="G164">
        <v>3</v>
      </c>
      <c r="H164">
        <v>5</v>
      </c>
      <c r="I164">
        <v>1</v>
      </c>
    </row>
    <row r="165" spans="1:9" x14ac:dyDescent="0.3">
      <c r="A165" t="s">
        <v>209</v>
      </c>
      <c r="B165" t="s">
        <v>43</v>
      </c>
      <c r="C165" t="s">
        <v>46</v>
      </c>
      <c r="D165" s="6">
        <v>37126</v>
      </c>
      <c r="E165">
        <v>30</v>
      </c>
      <c r="F165">
        <v>80000</v>
      </c>
      <c r="G165">
        <v>2</v>
      </c>
      <c r="H165">
        <v>4</v>
      </c>
      <c r="I165">
        <v>15</v>
      </c>
    </row>
    <row r="166" spans="1:9" x14ac:dyDescent="0.3">
      <c r="A166" t="s">
        <v>210</v>
      </c>
      <c r="B166" t="s">
        <v>43</v>
      </c>
      <c r="C166" t="s">
        <v>44</v>
      </c>
      <c r="D166" s="6">
        <v>37904</v>
      </c>
      <c r="E166">
        <v>9</v>
      </c>
      <c r="F166">
        <v>35400</v>
      </c>
      <c r="G166">
        <v>3</v>
      </c>
      <c r="H166">
        <v>7</v>
      </c>
      <c r="I166">
        <v>6</v>
      </c>
    </row>
    <row r="167" spans="1:9" x14ac:dyDescent="0.3">
      <c r="A167" t="s">
        <v>211</v>
      </c>
      <c r="B167" t="s">
        <v>53</v>
      </c>
      <c r="C167" t="s">
        <v>46</v>
      </c>
      <c r="D167" s="6">
        <v>25394</v>
      </c>
      <c r="E167">
        <v>0</v>
      </c>
      <c r="F167">
        <v>30000</v>
      </c>
      <c r="G167">
        <v>3</v>
      </c>
      <c r="H167">
        <v>8</v>
      </c>
      <c r="I167">
        <v>6</v>
      </c>
    </row>
    <row r="168" spans="1:9" x14ac:dyDescent="0.3">
      <c r="A168" t="s">
        <v>212</v>
      </c>
      <c r="B168" t="s">
        <v>53</v>
      </c>
      <c r="C168" t="s">
        <v>46</v>
      </c>
      <c r="D168" s="6">
        <v>36940</v>
      </c>
      <c r="E168">
        <v>1</v>
      </c>
      <c r="F168">
        <v>28560</v>
      </c>
      <c r="G168">
        <v>2</v>
      </c>
      <c r="H168">
        <v>4</v>
      </c>
      <c r="I168">
        <v>7</v>
      </c>
    </row>
    <row r="169" spans="1:9" x14ac:dyDescent="0.3">
      <c r="A169" t="s">
        <v>213</v>
      </c>
      <c r="B169" t="s">
        <v>53</v>
      </c>
      <c r="C169" t="s">
        <v>46</v>
      </c>
      <c r="D169" s="6">
        <v>37384</v>
      </c>
      <c r="E169">
        <v>1</v>
      </c>
      <c r="F169">
        <v>61200</v>
      </c>
      <c r="G169">
        <v>2</v>
      </c>
      <c r="H169">
        <v>2</v>
      </c>
      <c r="I169">
        <v>8</v>
      </c>
    </row>
    <row r="170" spans="1:9" x14ac:dyDescent="0.3">
      <c r="A170" t="s">
        <v>214</v>
      </c>
      <c r="B170" t="s">
        <v>43</v>
      </c>
      <c r="C170" t="s">
        <v>46</v>
      </c>
      <c r="D170" s="6">
        <v>35346</v>
      </c>
      <c r="E170">
        <v>4</v>
      </c>
      <c r="F170">
        <v>64800</v>
      </c>
      <c r="G170">
        <v>3</v>
      </c>
      <c r="H170">
        <v>1</v>
      </c>
      <c r="I170">
        <v>8</v>
      </c>
    </row>
    <row r="171" spans="1:9" x14ac:dyDescent="0.3">
      <c r="A171" t="s">
        <v>215</v>
      </c>
      <c r="B171" t="s">
        <v>53</v>
      </c>
      <c r="C171" t="s">
        <v>44</v>
      </c>
      <c r="D171" s="6">
        <v>29634</v>
      </c>
      <c r="E171">
        <v>1</v>
      </c>
      <c r="F171">
        <v>61200</v>
      </c>
      <c r="G171">
        <v>3</v>
      </c>
      <c r="H171">
        <v>7</v>
      </c>
      <c r="I171">
        <v>8</v>
      </c>
    </row>
    <row r="172" spans="1:9" x14ac:dyDescent="0.3">
      <c r="A172" t="s">
        <v>216</v>
      </c>
      <c r="B172" t="s">
        <v>53</v>
      </c>
      <c r="C172" t="s">
        <v>46</v>
      </c>
      <c r="D172" s="6">
        <v>32072</v>
      </c>
      <c r="E172">
        <v>31</v>
      </c>
      <c r="F172">
        <v>97200</v>
      </c>
      <c r="G172">
        <v>1</v>
      </c>
      <c r="H172">
        <v>4</v>
      </c>
      <c r="I172">
        <v>8</v>
      </c>
    </row>
    <row r="173" spans="1:9" x14ac:dyDescent="0.3">
      <c r="A173" t="s">
        <v>217</v>
      </c>
      <c r="B173" t="s">
        <v>53</v>
      </c>
      <c r="C173" t="s">
        <v>46</v>
      </c>
      <c r="D173" s="6">
        <v>25067</v>
      </c>
      <c r="E173">
        <v>1</v>
      </c>
      <c r="F173">
        <v>71400</v>
      </c>
      <c r="G173">
        <v>3</v>
      </c>
      <c r="H173">
        <v>2</v>
      </c>
      <c r="I173">
        <v>10</v>
      </c>
    </row>
    <row r="174" spans="1:9" x14ac:dyDescent="0.3">
      <c r="A174" t="s">
        <v>218</v>
      </c>
      <c r="B174" t="s">
        <v>43</v>
      </c>
      <c r="C174" t="s">
        <v>46</v>
      </c>
      <c r="D174" s="6">
        <v>37721</v>
      </c>
      <c r="E174">
        <v>1</v>
      </c>
      <c r="F174">
        <v>26520</v>
      </c>
      <c r="G174">
        <v>3</v>
      </c>
      <c r="H174">
        <v>3</v>
      </c>
      <c r="I174">
        <v>3</v>
      </c>
    </row>
    <row r="175" spans="1:9" x14ac:dyDescent="0.3">
      <c r="A175" t="s">
        <v>219</v>
      </c>
      <c r="B175" t="s">
        <v>43</v>
      </c>
      <c r="C175" t="s">
        <v>46</v>
      </c>
      <c r="D175" s="6">
        <v>32496</v>
      </c>
      <c r="E175">
        <v>1</v>
      </c>
      <c r="F175">
        <v>32640</v>
      </c>
      <c r="G175">
        <v>3</v>
      </c>
      <c r="H175">
        <v>4</v>
      </c>
      <c r="I175">
        <v>2</v>
      </c>
    </row>
    <row r="176" spans="1:9" x14ac:dyDescent="0.3">
      <c r="A176" t="s">
        <v>220</v>
      </c>
      <c r="B176" t="s">
        <v>53</v>
      </c>
      <c r="C176" t="s">
        <v>46</v>
      </c>
      <c r="D176" s="6">
        <v>29650</v>
      </c>
      <c r="E176">
        <v>1</v>
      </c>
      <c r="F176">
        <v>51000</v>
      </c>
      <c r="G176">
        <v>3</v>
      </c>
      <c r="H176">
        <v>5</v>
      </c>
      <c r="I176">
        <v>15</v>
      </c>
    </row>
    <row r="177" spans="1:9" x14ac:dyDescent="0.3">
      <c r="A177" t="s">
        <v>221</v>
      </c>
      <c r="B177" t="s">
        <v>53</v>
      </c>
      <c r="C177" t="s">
        <v>44</v>
      </c>
      <c r="D177" s="6">
        <v>25553</v>
      </c>
      <c r="E177">
        <v>1</v>
      </c>
      <c r="F177">
        <v>26520</v>
      </c>
      <c r="G177">
        <v>2</v>
      </c>
      <c r="H177">
        <v>11</v>
      </c>
      <c r="I177">
        <v>3</v>
      </c>
    </row>
    <row r="178" spans="1:9" x14ac:dyDescent="0.3">
      <c r="A178" t="s">
        <v>222</v>
      </c>
      <c r="B178" t="s">
        <v>43</v>
      </c>
      <c r="C178" t="s">
        <v>44</v>
      </c>
      <c r="D178" s="6">
        <v>31429</v>
      </c>
      <c r="E178">
        <v>1</v>
      </c>
      <c r="F178">
        <v>26520</v>
      </c>
      <c r="G178">
        <v>2</v>
      </c>
      <c r="H178">
        <v>8</v>
      </c>
      <c r="I178">
        <v>3</v>
      </c>
    </row>
    <row r="179" spans="1:9" x14ac:dyDescent="0.3">
      <c r="A179" t="s">
        <v>223</v>
      </c>
      <c r="B179" t="s">
        <v>53</v>
      </c>
      <c r="C179" t="s">
        <v>46</v>
      </c>
      <c r="D179" s="6">
        <v>28587</v>
      </c>
      <c r="E179">
        <v>1</v>
      </c>
      <c r="F179">
        <v>66300</v>
      </c>
      <c r="G179">
        <v>1</v>
      </c>
      <c r="H179">
        <v>11</v>
      </c>
      <c r="I179">
        <v>9</v>
      </c>
    </row>
    <row r="180" spans="1:9" x14ac:dyDescent="0.3">
      <c r="A180" t="s">
        <v>224</v>
      </c>
      <c r="B180" t="s">
        <v>43</v>
      </c>
      <c r="C180" t="s">
        <v>44</v>
      </c>
      <c r="D180" s="6">
        <v>32142</v>
      </c>
      <c r="E180">
        <v>1</v>
      </c>
      <c r="F180">
        <v>51000</v>
      </c>
      <c r="G180">
        <v>2</v>
      </c>
      <c r="H180">
        <v>2</v>
      </c>
      <c r="I180">
        <v>15</v>
      </c>
    </row>
    <row r="181" spans="1:9" x14ac:dyDescent="0.3">
      <c r="A181" t="s">
        <v>225</v>
      </c>
      <c r="B181" t="s">
        <v>43</v>
      </c>
      <c r="C181" t="s">
        <v>44</v>
      </c>
      <c r="D181" s="6">
        <v>37794</v>
      </c>
      <c r="E181">
        <v>30</v>
      </c>
      <c r="F181">
        <v>96000</v>
      </c>
      <c r="G181">
        <v>1</v>
      </c>
      <c r="H181">
        <v>9</v>
      </c>
      <c r="I181">
        <v>8</v>
      </c>
    </row>
    <row r="182" spans="1:9" x14ac:dyDescent="0.3">
      <c r="A182" t="s">
        <v>226</v>
      </c>
      <c r="B182" t="s">
        <v>53</v>
      </c>
      <c r="C182" t="s">
        <v>44</v>
      </c>
      <c r="D182" s="6">
        <v>35587</v>
      </c>
      <c r="E182">
        <v>1</v>
      </c>
      <c r="F182">
        <v>40800</v>
      </c>
      <c r="G182">
        <v>2</v>
      </c>
      <c r="H182">
        <v>1</v>
      </c>
      <c r="I182">
        <v>4</v>
      </c>
    </row>
    <row r="183" spans="1:9" x14ac:dyDescent="0.3">
      <c r="A183" t="s">
        <v>227</v>
      </c>
      <c r="B183" t="s">
        <v>43</v>
      </c>
      <c r="C183" t="s">
        <v>46</v>
      </c>
      <c r="D183" s="6">
        <v>35705</v>
      </c>
      <c r="E183">
        <v>1</v>
      </c>
      <c r="F183">
        <v>27540</v>
      </c>
      <c r="G183">
        <v>1</v>
      </c>
      <c r="H183">
        <v>1</v>
      </c>
      <c r="I183">
        <v>5</v>
      </c>
    </row>
    <row r="184" spans="1:9" x14ac:dyDescent="0.3">
      <c r="A184" t="s">
        <v>228</v>
      </c>
      <c r="B184" t="s">
        <v>53</v>
      </c>
      <c r="C184" t="s">
        <v>46</v>
      </c>
      <c r="D184" s="6">
        <v>29980</v>
      </c>
      <c r="E184">
        <v>1</v>
      </c>
      <c r="F184">
        <v>51000</v>
      </c>
      <c r="G184">
        <v>1</v>
      </c>
      <c r="H184">
        <v>5</v>
      </c>
      <c r="I184">
        <v>15</v>
      </c>
    </row>
    <row r="185" spans="1:9" x14ac:dyDescent="0.3">
      <c r="A185" t="s">
        <v>229</v>
      </c>
      <c r="B185" t="s">
        <v>43</v>
      </c>
      <c r="C185" t="s">
        <v>44</v>
      </c>
      <c r="D185" s="6">
        <v>32024</v>
      </c>
      <c r="E185">
        <v>1</v>
      </c>
      <c r="F185">
        <v>71400</v>
      </c>
      <c r="G185">
        <v>1</v>
      </c>
      <c r="H185">
        <v>11</v>
      </c>
      <c r="I185">
        <v>10</v>
      </c>
    </row>
    <row r="186" spans="1:9" x14ac:dyDescent="0.3">
      <c r="A186" t="s">
        <v>230</v>
      </c>
      <c r="B186" t="s">
        <v>43</v>
      </c>
      <c r="C186" t="s">
        <v>46</v>
      </c>
      <c r="D186" s="6">
        <v>28629</v>
      </c>
      <c r="E186">
        <v>1</v>
      </c>
      <c r="F186">
        <v>26520</v>
      </c>
      <c r="G186">
        <v>1</v>
      </c>
      <c r="H186">
        <v>1</v>
      </c>
      <c r="I186">
        <v>3</v>
      </c>
    </row>
    <row r="187" spans="1:9" x14ac:dyDescent="0.3">
      <c r="A187" t="s">
        <v>231</v>
      </c>
      <c r="B187" t="s">
        <v>53</v>
      </c>
      <c r="C187" t="s">
        <v>46</v>
      </c>
      <c r="D187" s="6">
        <v>25942</v>
      </c>
      <c r="E187">
        <v>1</v>
      </c>
      <c r="F187">
        <v>27540</v>
      </c>
      <c r="G187">
        <v>1</v>
      </c>
      <c r="H187">
        <v>9</v>
      </c>
      <c r="I187">
        <v>5</v>
      </c>
    </row>
    <row r="188" spans="1:9" x14ac:dyDescent="0.3">
      <c r="A188" t="s">
        <v>232</v>
      </c>
      <c r="B188" t="s">
        <v>53</v>
      </c>
      <c r="C188" t="s">
        <v>46</v>
      </c>
      <c r="D188" s="6">
        <v>35541</v>
      </c>
      <c r="E188">
        <v>1</v>
      </c>
      <c r="F188">
        <v>51000</v>
      </c>
      <c r="G188">
        <v>1</v>
      </c>
      <c r="H188">
        <v>10</v>
      </c>
      <c r="I188">
        <v>15</v>
      </c>
    </row>
    <row r="189" spans="1:9" x14ac:dyDescent="0.3">
      <c r="A189" t="s">
        <v>233</v>
      </c>
      <c r="B189" t="s">
        <v>53</v>
      </c>
      <c r="C189" t="s">
        <v>46</v>
      </c>
      <c r="D189" s="6">
        <v>32520</v>
      </c>
      <c r="E189">
        <v>1</v>
      </c>
      <c r="F189">
        <v>26520</v>
      </c>
      <c r="G189">
        <v>1</v>
      </c>
      <c r="H189">
        <v>4</v>
      </c>
      <c r="I189">
        <v>3</v>
      </c>
    </row>
    <row r="190" spans="1:9" x14ac:dyDescent="0.3">
      <c r="A190" t="s">
        <v>234</v>
      </c>
      <c r="B190" t="s">
        <v>53</v>
      </c>
      <c r="C190" t="s">
        <v>44</v>
      </c>
      <c r="D190" s="6">
        <v>27851</v>
      </c>
      <c r="E190">
        <v>26</v>
      </c>
      <c r="F190">
        <v>106400</v>
      </c>
      <c r="G190">
        <v>1</v>
      </c>
      <c r="H190">
        <v>3</v>
      </c>
      <c r="I190">
        <v>10</v>
      </c>
    </row>
    <row r="191" spans="1:9" x14ac:dyDescent="0.3">
      <c r="A191" t="s">
        <v>235</v>
      </c>
      <c r="B191" t="s">
        <v>53</v>
      </c>
      <c r="C191" t="s">
        <v>46</v>
      </c>
      <c r="D191" s="6">
        <v>35682</v>
      </c>
      <c r="E191">
        <v>23</v>
      </c>
      <c r="F191">
        <v>39420</v>
      </c>
      <c r="G191">
        <v>1</v>
      </c>
      <c r="H191">
        <v>1</v>
      </c>
      <c r="I191">
        <v>5</v>
      </c>
    </row>
    <row r="192" spans="1:9" x14ac:dyDescent="0.3">
      <c r="A192" t="s">
        <v>236</v>
      </c>
      <c r="B192" t="s">
        <v>43</v>
      </c>
      <c r="C192" t="s">
        <v>44</v>
      </c>
      <c r="D192" s="6">
        <v>23936</v>
      </c>
      <c r="E192">
        <v>1</v>
      </c>
      <c r="F192">
        <v>30600</v>
      </c>
      <c r="G192">
        <v>2</v>
      </c>
      <c r="H192">
        <v>6</v>
      </c>
      <c r="I192">
        <v>6</v>
      </c>
    </row>
    <row r="193" spans="1:9" x14ac:dyDescent="0.3">
      <c r="A193" t="s">
        <v>237</v>
      </c>
      <c r="B193" t="s">
        <v>53</v>
      </c>
      <c r="C193" t="s">
        <v>44</v>
      </c>
      <c r="D193" s="6">
        <v>27918</v>
      </c>
      <c r="E193">
        <v>1</v>
      </c>
      <c r="F193">
        <v>51000</v>
      </c>
      <c r="G193">
        <v>2</v>
      </c>
      <c r="H193">
        <v>9</v>
      </c>
      <c r="I193">
        <v>15</v>
      </c>
    </row>
    <row r="194" spans="1:9" x14ac:dyDescent="0.3">
      <c r="A194" t="s">
        <v>238</v>
      </c>
      <c r="B194" t="s">
        <v>53</v>
      </c>
      <c r="C194" t="s">
        <v>44</v>
      </c>
      <c r="D194" s="6">
        <v>33527</v>
      </c>
      <c r="E194">
        <v>1</v>
      </c>
      <c r="F194">
        <v>30600</v>
      </c>
      <c r="G194">
        <v>1</v>
      </c>
      <c r="H194">
        <v>3</v>
      </c>
      <c r="I194">
        <v>6</v>
      </c>
    </row>
    <row r="195" spans="1:9" x14ac:dyDescent="0.3">
      <c r="A195" t="s">
        <v>239</v>
      </c>
      <c r="B195" t="s">
        <v>43</v>
      </c>
      <c r="C195" t="s">
        <v>46</v>
      </c>
      <c r="D195" s="6">
        <v>23631</v>
      </c>
      <c r="E195">
        <v>1</v>
      </c>
      <c r="F195">
        <v>71400</v>
      </c>
      <c r="G195">
        <v>2</v>
      </c>
      <c r="H195">
        <v>1</v>
      </c>
      <c r="I195">
        <v>10</v>
      </c>
    </row>
    <row r="196" spans="1:9" x14ac:dyDescent="0.3">
      <c r="A196" t="s">
        <v>240</v>
      </c>
      <c r="B196" t="s">
        <v>43</v>
      </c>
      <c r="C196" t="s">
        <v>44</v>
      </c>
      <c r="D196" s="6">
        <v>27265</v>
      </c>
      <c r="E196">
        <v>1</v>
      </c>
      <c r="F196">
        <v>27540</v>
      </c>
      <c r="G196">
        <v>2</v>
      </c>
      <c r="H196">
        <v>6</v>
      </c>
      <c r="I196">
        <v>5</v>
      </c>
    </row>
    <row r="197" spans="1:9" x14ac:dyDescent="0.3">
      <c r="A197" t="s">
        <v>241</v>
      </c>
      <c r="B197" t="s">
        <v>53</v>
      </c>
      <c r="C197" t="s">
        <v>46</v>
      </c>
      <c r="D197" s="6">
        <v>25434</v>
      </c>
      <c r="E197">
        <v>1</v>
      </c>
      <c r="F197">
        <v>28560</v>
      </c>
      <c r="G197">
        <v>1</v>
      </c>
      <c r="H197">
        <v>1</v>
      </c>
      <c r="I197">
        <v>7</v>
      </c>
    </row>
    <row r="198" spans="1:9" x14ac:dyDescent="0.3">
      <c r="A198" t="s">
        <v>242</v>
      </c>
      <c r="B198" t="s">
        <v>43</v>
      </c>
      <c r="C198" t="s">
        <v>44</v>
      </c>
      <c r="D198" s="6">
        <v>27456</v>
      </c>
      <c r="E198">
        <v>1</v>
      </c>
      <c r="F198">
        <v>71400</v>
      </c>
      <c r="G198">
        <v>1</v>
      </c>
      <c r="H198">
        <v>7</v>
      </c>
      <c r="I198">
        <v>10</v>
      </c>
    </row>
    <row r="199" spans="1:9" x14ac:dyDescent="0.3">
      <c r="A199" t="s">
        <v>243</v>
      </c>
      <c r="B199" t="s">
        <v>53</v>
      </c>
      <c r="C199" t="s">
        <v>44</v>
      </c>
      <c r="D199" s="6">
        <v>32923</v>
      </c>
      <c r="E199">
        <v>14</v>
      </c>
      <c r="F199">
        <v>64000</v>
      </c>
      <c r="G199">
        <v>1</v>
      </c>
      <c r="H199">
        <v>7</v>
      </c>
      <c r="I199">
        <v>15</v>
      </c>
    </row>
    <row r="200" spans="1:9" x14ac:dyDescent="0.3">
      <c r="A200" t="s">
        <v>244</v>
      </c>
      <c r="B200" t="s">
        <v>43</v>
      </c>
      <c r="C200" t="s">
        <v>46</v>
      </c>
      <c r="D200" s="6">
        <v>23735</v>
      </c>
      <c r="E200">
        <v>1</v>
      </c>
      <c r="F200">
        <v>28560</v>
      </c>
      <c r="G200">
        <v>3</v>
      </c>
      <c r="H200">
        <v>11</v>
      </c>
      <c r="I200">
        <v>7</v>
      </c>
    </row>
    <row r="201" spans="1:9" x14ac:dyDescent="0.3">
      <c r="A201" t="s">
        <v>245</v>
      </c>
      <c r="B201" t="s">
        <v>53</v>
      </c>
      <c r="C201" t="s">
        <v>46</v>
      </c>
      <c r="D201" s="6">
        <v>37832</v>
      </c>
      <c r="E201">
        <v>1</v>
      </c>
      <c r="F201">
        <v>61200</v>
      </c>
      <c r="G201">
        <v>1</v>
      </c>
      <c r="H201">
        <v>9</v>
      </c>
      <c r="I201">
        <v>8</v>
      </c>
    </row>
    <row r="202" spans="1:9" x14ac:dyDescent="0.3">
      <c r="A202" t="s">
        <v>246</v>
      </c>
      <c r="B202" t="s">
        <v>43</v>
      </c>
      <c r="C202" t="s">
        <v>46</v>
      </c>
      <c r="D202" s="6">
        <v>30050</v>
      </c>
      <c r="E202">
        <v>13</v>
      </c>
      <c r="F202">
        <v>31500</v>
      </c>
      <c r="G202">
        <v>1</v>
      </c>
      <c r="H202">
        <v>3</v>
      </c>
      <c r="I202">
        <v>1</v>
      </c>
    </row>
    <row r="203" spans="1:9" x14ac:dyDescent="0.3">
      <c r="A203" t="s">
        <v>247</v>
      </c>
      <c r="B203" t="s">
        <v>43</v>
      </c>
      <c r="C203" t="s">
        <v>44</v>
      </c>
      <c r="D203" s="6">
        <v>28686</v>
      </c>
      <c r="E203">
        <v>1</v>
      </c>
      <c r="F203">
        <v>61200</v>
      </c>
      <c r="G203">
        <v>3</v>
      </c>
      <c r="H203">
        <v>7</v>
      </c>
      <c r="I203">
        <v>8</v>
      </c>
    </row>
    <row r="204" spans="1:9" x14ac:dyDescent="0.3">
      <c r="A204" t="s">
        <v>248</v>
      </c>
      <c r="B204" t="s">
        <v>43</v>
      </c>
      <c r="C204" t="s">
        <v>44</v>
      </c>
      <c r="D204" s="6">
        <v>30913</v>
      </c>
      <c r="E204">
        <v>9</v>
      </c>
      <c r="F204">
        <v>30680</v>
      </c>
      <c r="G204">
        <v>3</v>
      </c>
      <c r="H204">
        <v>10</v>
      </c>
      <c r="I204">
        <v>3</v>
      </c>
    </row>
    <row r="205" spans="1:9" x14ac:dyDescent="0.3">
      <c r="A205" t="s">
        <v>249</v>
      </c>
      <c r="B205" t="s">
        <v>53</v>
      </c>
      <c r="C205" t="s">
        <v>46</v>
      </c>
      <c r="D205" s="6">
        <v>34702</v>
      </c>
      <c r="E205">
        <v>29</v>
      </c>
      <c r="F205">
        <v>63200</v>
      </c>
      <c r="G205">
        <v>1</v>
      </c>
      <c r="H205">
        <v>4</v>
      </c>
      <c r="I205">
        <v>4</v>
      </c>
    </row>
    <row r="206" spans="1:9" x14ac:dyDescent="0.3">
      <c r="A206" t="s">
        <v>250</v>
      </c>
      <c r="B206" t="s">
        <v>43</v>
      </c>
      <c r="C206" t="s">
        <v>44</v>
      </c>
      <c r="D206" s="6">
        <v>30221</v>
      </c>
      <c r="E206">
        <v>30</v>
      </c>
      <c r="F206">
        <v>43200</v>
      </c>
      <c r="G206">
        <v>2</v>
      </c>
      <c r="H206">
        <v>4</v>
      </c>
      <c r="I206">
        <v>5</v>
      </c>
    </row>
    <row r="207" spans="1:9" x14ac:dyDescent="0.3">
      <c r="A207" t="s">
        <v>251</v>
      </c>
      <c r="B207" t="s">
        <v>43</v>
      </c>
      <c r="C207" t="s">
        <v>46</v>
      </c>
      <c r="D207" s="6">
        <v>31294</v>
      </c>
      <c r="E207">
        <v>15</v>
      </c>
      <c r="F207">
        <v>84500</v>
      </c>
      <c r="G207">
        <v>2</v>
      </c>
      <c r="H207">
        <v>7</v>
      </c>
      <c r="I207">
        <v>9</v>
      </c>
    </row>
    <row r="208" spans="1:9" x14ac:dyDescent="0.3">
      <c r="A208" t="s">
        <v>252</v>
      </c>
      <c r="B208" t="s">
        <v>43</v>
      </c>
      <c r="C208" t="s">
        <v>46</v>
      </c>
      <c r="D208" s="6">
        <v>30348</v>
      </c>
      <c r="E208">
        <v>30</v>
      </c>
      <c r="F208">
        <v>48000</v>
      </c>
      <c r="G208">
        <v>1</v>
      </c>
      <c r="H208">
        <v>1</v>
      </c>
      <c r="I208">
        <v>6</v>
      </c>
    </row>
    <row r="209" spans="1:9" x14ac:dyDescent="0.3">
      <c r="A209" t="s">
        <v>253</v>
      </c>
      <c r="B209" t="s">
        <v>53</v>
      </c>
      <c r="C209" t="s">
        <v>46</v>
      </c>
      <c r="D209" s="6">
        <v>30721</v>
      </c>
      <c r="E209">
        <v>1</v>
      </c>
      <c r="F209">
        <v>26520</v>
      </c>
      <c r="G209">
        <v>2</v>
      </c>
      <c r="H209">
        <v>7</v>
      </c>
      <c r="I209">
        <v>3</v>
      </c>
    </row>
    <row r="210" spans="1:9" x14ac:dyDescent="0.3">
      <c r="A210" t="s">
        <v>254</v>
      </c>
      <c r="B210" t="s">
        <v>53</v>
      </c>
      <c r="C210" t="s">
        <v>46</v>
      </c>
      <c r="D210" s="6">
        <v>32887</v>
      </c>
      <c r="E210">
        <v>31</v>
      </c>
      <c r="F210">
        <v>105300</v>
      </c>
      <c r="G210">
        <v>1</v>
      </c>
      <c r="H210">
        <v>6</v>
      </c>
      <c r="I210">
        <v>9</v>
      </c>
    </row>
    <row r="211" spans="1:9" x14ac:dyDescent="0.3">
      <c r="A211" t="s">
        <v>255</v>
      </c>
      <c r="B211" t="s">
        <v>53</v>
      </c>
      <c r="C211" t="s">
        <v>46</v>
      </c>
      <c r="D211" s="6">
        <v>29613</v>
      </c>
      <c r="E211">
        <v>1</v>
      </c>
      <c r="F211">
        <v>26520</v>
      </c>
      <c r="G211">
        <v>1</v>
      </c>
      <c r="H211">
        <v>8</v>
      </c>
      <c r="I211">
        <v>3</v>
      </c>
    </row>
    <row r="212" spans="1:9" x14ac:dyDescent="0.3">
      <c r="A212" t="s">
        <v>256</v>
      </c>
      <c r="B212" t="s">
        <v>53</v>
      </c>
      <c r="C212" t="s">
        <v>44</v>
      </c>
      <c r="D212" s="6">
        <v>26097</v>
      </c>
      <c r="E212">
        <v>4</v>
      </c>
      <c r="F212">
        <v>29160</v>
      </c>
      <c r="G212">
        <v>3</v>
      </c>
      <c r="H212">
        <v>1</v>
      </c>
      <c r="I212">
        <v>5</v>
      </c>
    </row>
    <row r="213" spans="1:9" x14ac:dyDescent="0.3">
      <c r="A213" t="s">
        <v>257</v>
      </c>
      <c r="B213" t="s">
        <v>43</v>
      </c>
      <c r="C213" t="s">
        <v>46</v>
      </c>
      <c r="D213" s="6">
        <v>23556</v>
      </c>
      <c r="E213">
        <v>1</v>
      </c>
      <c r="F213">
        <v>28560</v>
      </c>
      <c r="G213">
        <v>2</v>
      </c>
      <c r="H213">
        <v>5</v>
      </c>
      <c r="I213">
        <v>7</v>
      </c>
    </row>
    <row r="214" spans="1:9" x14ac:dyDescent="0.3">
      <c r="A214" t="s">
        <v>258</v>
      </c>
      <c r="B214" t="s">
        <v>43</v>
      </c>
      <c r="C214" t="s">
        <v>44</v>
      </c>
      <c r="D214" s="6">
        <v>32594</v>
      </c>
      <c r="E214">
        <v>3</v>
      </c>
      <c r="F214">
        <v>74200</v>
      </c>
      <c r="G214">
        <v>1</v>
      </c>
      <c r="H214">
        <v>9</v>
      </c>
      <c r="I214">
        <v>10</v>
      </c>
    </row>
    <row r="215" spans="1:9" x14ac:dyDescent="0.3">
      <c r="A215" t="s">
        <v>259</v>
      </c>
      <c r="B215" t="s">
        <v>53</v>
      </c>
      <c r="C215" t="s">
        <v>44</v>
      </c>
      <c r="D215" s="6">
        <v>30810</v>
      </c>
      <c r="E215">
        <v>1</v>
      </c>
      <c r="F215">
        <v>40800</v>
      </c>
      <c r="G215">
        <v>2</v>
      </c>
      <c r="H215">
        <v>5</v>
      </c>
      <c r="I215">
        <v>4</v>
      </c>
    </row>
    <row r="216" spans="1:9" x14ac:dyDescent="0.3">
      <c r="A216" t="s">
        <v>260</v>
      </c>
      <c r="B216" t="s">
        <v>53</v>
      </c>
      <c r="C216" t="s">
        <v>44</v>
      </c>
      <c r="D216" s="6">
        <v>37345</v>
      </c>
      <c r="E216">
        <v>1</v>
      </c>
      <c r="F216">
        <v>25500</v>
      </c>
      <c r="G216">
        <v>2</v>
      </c>
      <c r="H216">
        <v>11</v>
      </c>
      <c r="I216">
        <v>1</v>
      </c>
    </row>
    <row r="217" spans="1:9" x14ac:dyDescent="0.3">
      <c r="A217" t="s">
        <v>261</v>
      </c>
      <c r="B217" t="s">
        <v>43</v>
      </c>
      <c r="C217" t="s">
        <v>44</v>
      </c>
      <c r="D217" s="6">
        <v>35904</v>
      </c>
      <c r="E217">
        <v>7</v>
      </c>
      <c r="F217">
        <v>74100</v>
      </c>
      <c r="G217">
        <v>3</v>
      </c>
      <c r="H217">
        <v>1</v>
      </c>
      <c r="I217">
        <v>9</v>
      </c>
    </row>
    <row r="218" spans="1:9" x14ac:dyDescent="0.3">
      <c r="A218" t="s">
        <v>262</v>
      </c>
      <c r="B218" t="s">
        <v>53</v>
      </c>
      <c r="C218" t="s">
        <v>44</v>
      </c>
      <c r="D218" s="6">
        <v>32443</v>
      </c>
      <c r="E218">
        <v>16</v>
      </c>
      <c r="F218">
        <v>42240</v>
      </c>
      <c r="G218">
        <v>2</v>
      </c>
      <c r="H218">
        <v>1</v>
      </c>
      <c r="I218">
        <v>2</v>
      </c>
    </row>
    <row r="219" spans="1:9" x14ac:dyDescent="0.3">
      <c r="A219" t="s">
        <v>263</v>
      </c>
      <c r="B219" t="s">
        <v>43</v>
      </c>
      <c r="C219" t="s">
        <v>44</v>
      </c>
      <c r="D219" s="6">
        <v>28915</v>
      </c>
      <c r="E219">
        <v>1</v>
      </c>
      <c r="F219">
        <v>61200</v>
      </c>
      <c r="G219">
        <v>1</v>
      </c>
      <c r="H219">
        <v>11</v>
      </c>
      <c r="I219">
        <v>8</v>
      </c>
    </row>
    <row r="220" spans="1:9" x14ac:dyDescent="0.3">
      <c r="A220" t="s">
        <v>264</v>
      </c>
      <c r="B220" t="s">
        <v>43</v>
      </c>
      <c r="C220" t="s">
        <v>46</v>
      </c>
      <c r="D220" s="6">
        <v>23449</v>
      </c>
      <c r="E220">
        <v>1</v>
      </c>
      <c r="F220">
        <v>28560</v>
      </c>
      <c r="G220">
        <v>3</v>
      </c>
      <c r="H220">
        <v>3</v>
      </c>
      <c r="I220">
        <v>7</v>
      </c>
    </row>
    <row r="221" spans="1:9" x14ac:dyDescent="0.3">
      <c r="A221" t="s">
        <v>265</v>
      </c>
      <c r="B221" t="s">
        <v>43</v>
      </c>
      <c r="C221" t="s">
        <v>44</v>
      </c>
      <c r="D221" s="6">
        <v>29584</v>
      </c>
      <c r="E221">
        <v>1</v>
      </c>
      <c r="F221">
        <v>28560</v>
      </c>
      <c r="G221">
        <v>1</v>
      </c>
      <c r="H221">
        <v>11</v>
      </c>
      <c r="I221">
        <v>7</v>
      </c>
    </row>
    <row r="222" spans="1:9" x14ac:dyDescent="0.3">
      <c r="A222" t="s">
        <v>266</v>
      </c>
      <c r="B222" t="s">
        <v>53</v>
      </c>
      <c r="C222" t="s">
        <v>44</v>
      </c>
      <c r="D222" s="6">
        <v>28662</v>
      </c>
      <c r="E222">
        <v>1</v>
      </c>
      <c r="F222">
        <v>26520</v>
      </c>
      <c r="G222">
        <v>3</v>
      </c>
      <c r="H222">
        <v>3</v>
      </c>
      <c r="I222">
        <v>3</v>
      </c>
    </row>
    <row r="223" spans="1:9" x14ac:dyDescent="0.3">
      <c r="A223" t="s">
        <v>267</v>
      </c>
      <c r="B223" t="s">
        <v>43</v>
      </c>
      <c r="C223" t="s">
        <v>46</v>
      </c>
      <c r="D223" s="6">
        <v>29819</v>
      </c>
      <c r="E223">
        <v>1</v>
      </c>
      <c r="F223">
        <v>61200</v>
      </c>
      <c r="G223">
        <v>2</v>
      </c>
      <c r="H223">
        <v>6</v>
      </c>
      <c r="I223">
        <v>8</v>
      </c>
    </row>
    <row r="224" spans="1:9" x14ac:dyDescent="0.3">
      <c r="A224" t="s">
        <v>268</v>
      </c>
      <c r="B224" t="s">
        <v>53</v>
      </c>
      <c r="C224" t="s">
        <v>44</v>
      </c>
      <c r="D224" s="6">
        <v>36305</v>
      </c>
      <c r="E224">
        <v>11</v>
      </c>
      <c r="F224">
        <v>39040</v>
      </c>
      <c r="G224">
        <v>3</v>
      </c>
      <c r="H224">
        <v>3</v>
      </c>
      <c r="I224">
        <v>2</v>
      </c>
    </row>
    <row r="225" spans="1:9" x14ac:dyDescent="0.3">
      <c r="A225" t="s">
        <v>269</v>
      </c>
      <c r="B225" t="s">
        <v>43</v>
      </c>
      <c r="C225" t="s">
        <v>46</v>
      </c>
      <c r="D225" s="6">
        <v>32385</v>
      </c>
      <c r="E225">
        <v>23</v>
      </c>
      <c r="F225">
        <v>58400</v>
      </c>
      <c r="G225">
        <v>1</v>
      </c>
      <c r="H225">
        <v>8</v>
      </c>
      <c r="I225">
        <v>4</v>
      </c>
    </row>
    <row r="226" spans="1:9" x14ac:dyDescent="0.3">
      <c r="A226" t="s">
        <v>270</v>
      </c>
      <c r="B226" t="s">
        <v>43</v>
      </c>
      <c r="C226" t="s">
        <v>46</v>
      </c>
      <c r="D226" s="6">
        <v>35139</v>
      </c>
      <c r="E226">
        <v>1</v>
      </c>
      <c r="F226">
        <v>30600</v>
      </c>
      <c r="G226">
        <v>2</v>
      </c>
      <c r="H226">
        <v>9</v>
      </c>
      <c r="I226">
        <v>6</v>
      </c>
    </row>
    <row r="227" spans="1:9" x14ac:dyDescent="0.3">
      <c r="A227" t="s">
        <v>271</v>
      </c>
      <c r="B227" t="s">
        <v>43</v>
      </c>
      <c r="C227" t="s">
        <v>44</v>
      </c>
      <c r="D227" s="6">
        <v>31698</v>
      </c>
      <c r="E227">
        <v>33</v>
      </c>
      <c r="F227">
        <v>44820</v>
      </c>
      <c r="G227">
        <v>3</v>
      </c>
      <c r="H227">
        <v>10</v>
      </c>
      <c r="I227">
        <v>5</v>
      </c>
    </row>
    <row r="228" spans="1:9" x14ac:dyDescent="0.3">
      <c r="A228" t="s">
        <v>272</v>
      </c>
      <c r="B228" t="s">
        <v>43</v>
      </c>
      <c r="C228" t="s">
        <v>44</v>
      </c>
      <c r="D228" s="6">
        <v>36112</v>
      </c>
      <c r="E228">
        <v>1</v>
      </c>
      <c r="F228">
        <v>51000</v>
      </c>
      <c r="G228">
        <v>2</v>
      </c>
      <c r="H228">
        <v>1</v>
      </c>
      <c r="I228">
        <v>15</v>
      </c>
    </row>
    <row r="229" spans="1:9" x14ac:dyDescent="0.3">
      <c r="A229" t="s">
        <v>273</v>
      </c>
      <c r="B229" t="s">
        <v>53</v>
      </c>
      <c r="C229" t="s">
        <v>46</v>
      </c>
      <c r="D229" s="6">
        <v>35846</v>
      </c>
      <c r="E229">
        <v>1</v>
      </c>
      <c r="F229">
        <v>66300</v>
      </c>
      <c r="G229">
        <v>1</v>
      </c>
      <c r="H229">
        <v>1</v>
      </c>
      <c r="I229">
        <v>9</v>
      </c>
    </row>
    <row r="230" spans="1:9" x14ac:dyDescent="0.3">
      <c r="A230" t="s">
        <v>274</v>
      </c>
      <c r="B230" t="s">
        <v>53</v>
      </c>
      <c r="C230" t="s">
        <v>44</v>
      </c>
      <c r="D230" s="6">
        <v>32923</v>
      </c>
      <c r="E230">
        <v>1</v>
      </c>
      <c r="F230">
        <v>32640</v>
      </c>
      <c r="G230">
        <v>3</v>
      </c>
      <c r="H230">
        <v>9</v>
      </c>
      <c r="I230">
        <v>2</v>
      </c>
    </row>
    <row r="231" spans="1:9" x14ac:dyDescent="0.3">
      <c r="A231" t="s">
        <v>275</v>
      </c>
      <c r="B231" t="s">
        <v>43</v>
      </c>
      <c r="C231" t="s">
        <v>44</v>
      </c>
      <c r="D231" s="6">
        <v>31561</v>
      </c>
      <c r="E231">
        <v>24</v>
      </c>
      <c r="F231">
        <v>74000</v>
      </c>
      <c r="G231">
        <v>1</v>
      </c>
      <c r="H231">
        <v>11</v>
      </c>
      <c r="I231">
        <v>15</v>
      </c>
    </row>
    <row r="232" spans="1:9" x14ac:dyDescent="0.3">
      <c r="A232" t="s">
        <v>276</v>
      </c>
      <c r="B232" t="s">
        <v>43</v>
      </c>
      <c r="C232" t="s">
        <v>44</v>
      </c>
      <c r="D232" s="6">
        <v>31059</v>
      </c>
      <c r="E232">
        <v>1</v>
      </c>
      <c r="F232">
        <v>61200</v>
      </c>
      <c r="G232">
        <v>1</v>
      </c>
      <c r="H232">
        <v>7</v>
      </c>
      <c r="I232">
        <v>8</v>
      </c>
    </row>
    <row r="233" spans="1:9" x14ac:dyDescent="0.3">
      <c r="A233" t="s">
        <v>277</v>
      </c>
      <c r="B233" t="s">
        <v>53</v>
      </c>
      <c r="C233" t="s">
        <v>44</v>
      </c>
      <c r="D233" s="6">
        <v>33707</v>
      </c>
      <c r="E233">
        <v>1</v>
      </c>
      <c r="F233">
        <v>26520</v>
      </c>
      <c r="G233">
        <v>3</v>
      </c>
      <c r="H233">
        <v>3</v>
      </c>
      <c r="I233">
        <v>3</v>
      </c>
    </row>
    <row r="234" spans="1:9" x14ac:dyDescent="0.3">
      <c r="A234" t="s">
        <v>278</v>
      </c>
      <c r="B234" t="s">
        <v>43</v>
      </c>
      <c r="C234" t="s">
        <v>44</v>
      </c>
      <c r="D234" s="6">
        <v>29985</v>
      </c>
      <c r="E234">
        <v>21</v>
      </c>
      <c r="F234">
        <v>92300</v>
      </c>
      <c r="G234">
        <v>2</v>
      </c>
      <c r="H234">
        <v>3</v>
      </c>
      <c r="I234">
        <v>9</v>
      </c>
    </row>
    <row r="235" spans="1:9" x14ac:dyDescent="0.3">
      <c r="A235" t="s">
        <v>279</v>
      </c>
      <c r="B235" t="s">
        <v>53</v>
      </c>
      <c r="C235" t="s">
        <v>46</v>
      </c>
      <c r="D235" s="6">
        <v>31371</v>
      </c>
      <c r="E235">
        <v>0</v>
      </c>
      <c r="F235">
        <v>70000</v>
      </c>
      <c r="G235">
        <v>2</v>
      </c>
      <c r="H235">
        <v>10</v>
      </c>
      <c r="I235">
        <v>10</v>
      </c>
    </row>
    <row r="236" spans="1:9" x14ac:dyDescent="0.3">
      <c r="A236" t="s">
        <v>280</v>
      </c>
      <c r="B236" t="s">
        <v>43</v>
      </c>
      <c r="C236" t="s">
        <v>46</v>
      </c>
      <c r="D236" s="6">
        <v>33256</v>
      </c>
      <c r="E236">
        <v>17</v>
      </c>
      <c r="F236">
        <v>93800</v>
      </c>
      <c r="G236">
        <v>2</v>
      </c>
      <c r="H236">
        <v>10</v>
      </c>
      <c r="I236">
        <v>10</v>
      </c>
    </row>
    <row r="237" spans="1:9" x14ac:dyDescent="0.3">
      <c r="A237" t="s">
        <v>281</v>
      </c>
      <c r="B237" t="s">
        <v>43</v>
      </c>
      <c r="C237" t="s">
        <v>46</v>
      </c>
      <c r="D237" s="6">
        <v>32538</v>
      </c>
      <c r="E237">
        <v>1</v>
      </c>
      <c r="F237">
        <v>28560</v>
      </c>
      <c r="G237">
        <v>1</v>
      </c>
      <c r="H237">
        <v>1</v>
      </c>
      <c r="I237">
        <v>7</v>
      </c>
    </row>
    <row r="238" spans="1:9" x14ac:dyDescent="0.3">
      <c r="A238" t="s">
        <v>282</v>
      </c>
      <c r="B238" t="s">
        <v>53</v>
      </c>
      <c r="C238" t="s">
        <v>46</v>
      </c>
      <c r="D238" s="6">
        <v>33972</v>
      </c>
      <c r="E238">
        <v>1</v>
      </c>
      <c r="F238">
        <v>27540</v>
      </c>
      <c r="G238">
        <v>2</v>
      </c>
      <c r="H238">
        <v>1</v>
      </c>
      <c r="I238">
        <v>5</v>
      </c>
    </row>
    <row r="239" spans="1:9" x14ac:dyDescent="0.3">
      <c r="A239" t="s">
        <v>283</v>
      </c>
      <c r="B239" t="s">
        <v>53</v>
      </c>
      <c r="C239" t="s">
        <v>44</v>
      </c>
      <c r="D239" s="6">
        <v>35868</v>
      </c>
      <c r="E239">
        <v>17</v>
      </c>
      <c r="F239">
        <v>37520</v>
      </c>
      <c r="G239">
        <v>1</v>
      </c>
      <c r="H239">
        <v>2</v>
      </c>
      <c r="I239">
        <v>7</v>
      </c>
    </row>
    <row r="240" spans="1:9" x14ac:dyDescent="0.3">
      <c r="A240" t="s">
        <v>284</v>
      </c>
      <c r="B240" t="s">
        <v>53</v>
      </c>
      <c r="C240" t="s">
        <v>46</v>
      </c>
      <c r="D240" s="6">
        <v>35171</v>
      </c>
      <c r="E240">
        <v>6</v>
      </c>
      <c r="F240">
        <v>56000</v>
      </c>
      <c r="G240">
        <v>1</v>
      </c>
      <c r="H240">
        <v>7</v>
      </c>
      <c r="I240">
        <v>15</v>
      </c>
    </row>
    <row r="241" spans="1:9" x14ac:dyDescent="0.3">
      <c r="A241" t="s">
        <v>285</v>
      </c>
      <c r="B241" t="s">
        <v>53</v>
      </c>
      <c r="C241" t="s">
        <v>44</v>
      </c>
      <c r="D241" s="6">
        <v>27088</v>
      </c>
      <c r="E241">
        <v>1</v>
      </c>
      <c r="F241">
        <v>27540</v>
      </c>
      <c r="G241">
        <v>1</v>
      </c>
      <c r="H241">
        <v>5</v>
      </c>
      <c r="I241">
        <v>5</v>
      </c>
    </row>
    <row r="242" spans="1:9" x14ac:dyDescent="0.3">
      <c r="A242" t="s">
        <v>286</v>
      </c>
      <c r="B242" t="s">
        <v>43</v>
      </c>
      <c r="C242" t="s">
        <v>46</v>
      </c>
      <c r="D242" s="6">
        <v>35232</v>
      </c>
      <c r="E242">
        <v>1</v>
      </c>
      <c r="F242">
        <v>26520</v>
      </c>
      <c r="G242">
        <v>1</v>
      </c>
      <c r="H242">
        <v>4</v>
      </c>
      <c r="I242">
        <v>3</v>
      </c>
    </row>
    <row r="243" spans="1:9" x14ac:dyDescent="0.3">
      <c r="A243" t="s">
        <v>287</v>
      </c>
      <c r="B243" t="s">
        <v>53</v>
      </c>
      <c r="C243" t="s">
        <v>44</v>
      </c>
      <c r="D243" s="6">
        <v>35453</v>
      </c>
      <c r="E243">
        <v>1</v>
      </c>
      <c r="F243">
        <v>66300</v>
      </c>
      <c r="G243">
        <v>1</v>
      </c>
      <c r="H243">
        <v>6</v>
      </c>
      <c r="I243">
        <v>9</v>
      </c>
    </row>
    <row r="244" spans="1:9" x14ac:dyDescent="0.3">
      <c r="A244" t="s">
        <v>288</v>
      </c>
      <c r="B244" t="s">
        <v>53</v>
      </c>
      <c r="C244" t="s">
        <v>44</v>
      </c>
      <c r="D244" s="6">
        <v>24890</v>
      </c>
      <c r="E244">
        <v>1</v>
      </c>
      <c r="F244">
        <v>66300</v>
      </c>
      <c r="G244">
        <v>1</v>
      </c>
      <c r="H244">
        <v>7</v>
      </c>
      <c r="I244">
        <v>9</v>
      </c>
    </row>
    <row r="245" spans="1:9" x14ac:dyDescent="0.3">
      <c r="A245" t="s">
        <v>289</v>
      </c>
      <c r="B245" t="s">
        <v>43</v>
      </c>
      <c r="C245" t="s">
        <v>44</v>
      </c>
      <c r="D245" s="6">
        <v>27306</v>
      </c>
      <c r="E245">
        <v>1</v>
      </c>
      <c r="F245">
        <v>51000</v>
      </c>
      <c r="G245">
        <v>1</v>
      </c>
      <c r="H245">
        <v>6</v>
      </c>
      <c r="I245">
        <v>15</v>
      </c>
    </row>
    <row r="246" spans="1:9" x14ac:dyDescent="0.3">
      <c r="A246" t="s">
        <v>290</v>
      </c>
      <c r="B246" t="s">
        <v>43</v>
      </c>
      <c r="C246" t="s">
        <v>44</v>
      </c>
      <c r="D246" s="6">
        <v>30009</v>
      </c>
      <c r="E246">
        <v>1</v>
      </c>
      <c r="F246">
        <v>51000</v>
      </c>
      <c r="G246">
        <v>1</v>
      </c>
      <c r="H246">
        <v>2</v>
      </c>
      <c r="I246">
        <v>15</v>
      </c>
    </row>
    <row r="247" spans="1:9" x14ac:dyDescent="0.3">
      <c r="A247" t="s">
        <v>291</v>
      </c>
      <c r="B247" t="s">
        <v>43</v>
      </c>
      <c r="C247" t="s">
        <v>44</v>
      </c>
      <c r="D247" s="6">
        <v>30949</v>
      </c>
      <c r="E247">
        <v>32</v>
      </c>
      <c r="F247">
        <v>42640</v>
      </c>
      <c r="G247">
        <v>1</v>
      </c>
      <c r="H247">
        <v>4</v>
      </c>
      <c r="I247">
        <v>3</v>
      </c>
    </row>
    <row r="248" spans="1:9" x14ac:dyDescent="0.3">
      <c r="A248" t="s">
        <v>292</v>
      </c>
      <c r="B248" t="s">
        <v>53</v>
      </c>
      <c r="C248" t="s">
        <v>46</v>
      </c>
      <c r="D248" s="6">
        <v>31853</v>
      </c>
      <c r="E248">
        <v>1</v>
      </c>
      <c r="F248">
        <v>66300</v>
      </c>
      <c r="G248">
        <v>1</v>
      </c>
      <c r="H248">
        <v>9</v>
      </c>
      <c r="I248">
        <v>9</v>
      </c>
    </row>
    <row r="249" spans="1:9" x14ac:dyDescent="0.3">
      <c r="A249" t="s">
        <v>293</v>
      </c>
      <c r="B249" t="s">
        <v>43</v>
      </c>
      <c r="C249" t="s">
        <v>46</v>
      </c>
      <c r="D249" s="6">
        <v>30956</v>
      </c>
      <c r="E249">
        <v>1</v>
      </c>
      <c r="F249">
        <v>32640</v>
      </c>
      <c r="G249">
        <v>1</v>
      </c>
      <c r="H249">
        <v>8</v>
      </c>
      <c r="I249">
        <v>2</v>
      </c>
    </row>
    <row r="250" spans="1:9" x14ac:dyDescent="0.3">
      <c r="A250" t="s">
        <v>294</v>
      </c>
      <c r="B250" t="s">
        <v>43</v>
      </c>
      <c r="C250" t="s">
        <v>44</v>
      </c>
      <c r="D250" s="6">
        <v>33020</v>
      </c>
      <c r="E250">
        <v>10</v>
      </c>
      <c r="F250">
        <v>36000</v>
      </c>
      <c r="G250">
        <v>1</v>
      </c>
      <c r="H250">
        <v>4</v>
      </c>
      <c r="I250">
        <v>6</v>
      </c>
    </row>
    <row r="251" spans="1:9" x14ac:dyDescent="0.3">
      <c r="A251" t="s">
        <v>295</v>
      </c>
      <c r="B251" t="s">
        <v>43</v>
      </c>
      <c r="C251" t="s">
        <v>46</v>
      </c>
      <c r="D251" s="6">
        <v>27394</v>
      </c>
      <c r="E251">
        <v>28</v>
      </c>
      <c r="F251">
        <v>109200</v>
      </c>
      <c r="G251">
        <v>1</v>
      </c>
      <c r="H251">
        <v>7</v>
      </c>
      <c r="I251">
        <v>10</v>
      </c>
    </row>
    <row r="252" spans="1:9" x14ac:dyDescent="0.3">
      <c r="A252" t="s">
        <v>296</v>
      </c>
      <c r="B252" t="s">
        <v>53</v>
      </c>
      <c r="C252" t="s">
        <v>44</v>
      </c>
      <c r="D252" s="6">
        <v>31922</v>
      </c>
      <c r="E252">
        <v>5</v>
      </c>
      <c r="F252">
        <v>28600</v>
      </c>
      <c r="G252">
        <v>1</v>
      </c>
      <c r="H252">
        <v>1</v>
      </c>
      <c r="I252">
        <v>3</v>
      </c>
    </row>
    <row r="253" spans="1:9" x14ac:dyDescent="0.3">
      <c r="A253" t="s">
        <v>297</v>
      </c>
      <c r="B253" t="s">
        <v>43</v>
      </c>
      <c r="C253" t="s">
        <v>46</v>
      </c>
      <c r="D253" s="6">
        <v>36185</v>
      </c>
      <c r="E253">
        <v>1</v>
      </c>
      <c r="F253">
        <v>25500</v>
      </c>
      <c r="G253">
        <v>1</v>
      </c>
      <c r="H253">
        <v>5</v>
      </c>
      <c r="I253">
        <v>1</v>
      </c>
    </row>
    <row r="254" spans="1:9" x14ac:dyDescent="0.3">
      <c r="A254" t="s">
        <v>298</v>
      </c>
      <c r="B254" t="s">
        <v>43</v>
      </c>
      <c r="C254" t="s">
        <v>44</v>
      </c>
      <c r="D254" s="6">
        <v>33109</v>
      </c>
      <c r="E254">
        <v>23</v>
      </c>
      <c r="F254">
        <v>87600</v>
      </c>
      <c r="G254">
        <v>1</v>
      </c>
      <c r="H254">
        <v>9</v>
      </c>
      <c r="I254">
        <v>8</v>
      </c>
    </row>
    <row r="255" spans="1:9" x14ac:dyDescent="0.3">
      <c r="A255" t="s">
        <v>299</v>
      </c>
      <c r="B255" t="s">
        <v>53</v>
      </c>
      <c r="C255" t="s">
        <v>44</v>
      </c>
      <c r="D255" s="6">
        <v>33468</v>
      </c>
      <c r="E255">
        <v>5</v>
      </c>
      <c r="F255">
        <v>35200</v>
      </c>
      <c r="G255">
        <v>1</v>
      </c>
      <c r="H255">
        <v>2</v>
      </c>
      <c r="I255">
        <v>2</v>
      </c>
    </row>
    <row r="256" spans="1:9" x14ac:dyDescent="0.3">
      <c r="A256" t="s">
        <v>300</v>
      </c>
      <c r="B256" t="s">
        <v>53</v>
      </c>
      <c r="C256" t="s">
        <v>44</v>
      </c>
      <c r="D256" s="6">
        <v>35956</v>
      </c>
      <c r="E256">
        <v>28</v>
      </c>
      <c r="F256">
        <v>49920</v>
      </c>
      <c r="G256">
        <v>1</v>
      </c>
      <c r="H256">
        <v>10</v>
      </c>
      <c r="I256">
        <v>2</v>
      </c>
    </row>
    <row r="257" spans="1:9" x14ac:dyDescent="0.3">
      <c r="A257" t="s">
        <v>301</v>
      </c>
      <c r="B257" t="s">
        <v>43</v>
      </c>
      <c r="C257" t="s">
        <v>44</v>
      </c>
      <c r="D257" s="6">
        <v>32675</v>
      </c>
      <c r="E257">
        <v>19</v>
      </c>
      <c r="F257">
        <v>82800</v>
      </c>
      <c r="G257">
        <v>1</v>
      </c>
      <c r="H257">
        <v>1</v>
      </c>
      <c r="I257">
        <v>8</v>
      </c>
    </row>
    <row r="258" spans="1:9" x14ac:dyDescent="0.3">
      <c r="A258" t="s">
        <v>302</v>
      </c>
      <c r="B258" t="s">
        <v>53</v>
      </c>
      <c r="C258" t="s">
        <v>44</v>
      </c>
      <c r="D258" s="6">
        <v>34180</v>
      </c>
      <c r="E258">
        <v>14</v>
      </c>
      <c r="F258">
        <v>76800</v>
      </c>
      <c r="G258">
        <v>1</v>
      </c>
      <c r="H258">
        <v>6</v>
      </c>
      <c r="I258">
        <v>8</v>
      </c>
    </row>
    <row r="259" spans="1:9" x14ac:dyDescent="0.3">
      <c r="A259" t="s">
        <v>303</v>
      </c>
      <c r="B259" t="s">
        <v>53</v>
      </c>
      <c r="C259" t="s">
        <v>44</v>
      </c>
      <c r="D259" s="6">
        <v>30643</v>
      </c>
      <c r="E259">
        <v>1</v>
      </c>
      <c r="F259">
        <v>51000</v>
      </c>
      <c r="G259">
        <v>1</v>
      </c>
      <c r="H259">
        <v>9</v>
      </c>
      <c r="I259">
        <v>15</v>
      </c>
    </row>
    <row r="260" spans="1:9" x14ac:dyDescent="0.3">
      <c r="A260" t="s">
        <v>304</v>
      </c>
      <c r="B260" t="s">
        <v>43</v>
      </c>
      <c r="C260" t="s">
        <v>44</v>
      </c>
      <c r="D260" s="6">
        <v>35879</v>
      </c>
      <c r="E260">
        <v>9</v>
      </c>
      <c r="F260">
        <v>31860</v>
      </c>
      <c r="G260">
        <v>1</v>
      </c>
      <c r="H260">
        <v>3</v>
      </c>
      <c r="I260">
        <v>5</v>
      </c>
    </row>
    <row r="261" spans="1:9" x14ac:dyDescent="0.3">
      <c r="A261" t="s">
        <v>305</v>
      </c>
      <c r="B261" t="s">
        <v>43</v>
      </c>
      <c r="C261" t="s">
        <v>46</v>
      </c>
      <c r="D261" s="6">
        <v>25108</v>
      </c>
      <c r="E261">
        <v>25</v>
      </c>
      <c r="F261">
        <v>39000</v>
      </c>
      <c r="G261">
        <v>1</v>
      </c>
      <c r="H261">
        <v>3</v>
      </c>
      <c r="I261">
        <v>3</v>
      </c>
    </row>
    <row r="262" spans="1:9" x14ac:dyDescent="0.3">
      <c r="A262" t="s">
        <v>306</v>
      </c>
      <c r="B262" t="s">
        <v>53</v>
      </c>
      <c r="C262" t="s">
        <v>44</v>
      </c>
      <c r="D262" s="6">
        <v>24329</v>
      </c>
      <c r="E262">
        <v>1</v>
      </c>
      <c r="F262">
        <v>51000</v>
      </c>
      <c r="G262">
        <v>1</v>
      </c>
      <c r="H262">
        <v>9</v>
      </c>
      <c r="I262">
        <v>15</v>
      </c>
    </row>
    <row r="263" spans="1:9" x14ac:dyDescent="0.3">
      <c r="A263" t="s">
        <v>307</v>
      </c>
      <c r="B263" t="s">
        <v>53</v>
      </c>
      <c r="C263" t="s">
        <v>44</v>
      </c>
      <c r="D263" s="6">
        <v>36102</v>
      </c>
      <c r="E263">
        <v>1</v>
      </c>
      <c r="F263">
        <v>66300</v>
      </c>
      <c r="G263">
        <v>3</v>
      </c>
      <c r="H263">
        <v>2</v>
      </c>
      <c r="I263">
        <v>9</v>
      </c>
    </row>
    <row r="264" spans="1:9" x14ac:dyDescent="0.3">
      <c r="A264" t="s">
        <v>308</v>
      </c>
      <c r="B264" t="s">
        <v>43</v>
      </c>
      <c r="C264" t="s">
        <v>44</v>
      </c>
      <c r="D264" s="6">
        <v>27898</v>
      </c>
      <c r="E264">
        <v>2</v>
      </c>
      <c r="F264">
        <v>31200</v>
      </c>
      <c r="G264">
        <v>3</v>
      </c>
      <c r="H264">
        <v>1</v>
      </c>
      <c r="I264">
        <v>6</v>
      </c>
    </row>
    <row r="265" spans="1:9" x14ac:dyDescent="0.3">
      <c r="A265" t="s">
        <v>309</v>
      </c>
      <c r="B265" t="s">
        <v>43</v>
      </c>
      <c r="C265" t="s">
        <v>44</v>
      </c>
      <c r="D265" s="6">
        <v>30346</v>
      </c>
      <c r="E265">
        <v>1</v>
      </c>
      <c r="F265">
        <v>26520</v>
      </c>
      <c r="G265">
        <v>1</v>
      </c>
      <c r="H265">
        <v>9</v>
      </c>
      <c r="I265">
        <v>3</v>
      </c>
    </row>
    <row r="266" spans="1:9" x14ac:dyDescent="0.3">
      <c r="A266" t="s">
        <v>310</v>
      </c>
      <c r="B266" t="s">
        <v>53</v>
      </c>
      <c r="C266" t="s">
        <v>44</v>
      </c>
      <c r="D266" s="6">
        <v>32802</v>
      </c>
      <c r="E266">
        <v>17</v>
      </c>
      <c r="F266">
        <v>37520</v>
      </c>
      <c r="G266">
        <v>1</v>
      </c>
      <c r="H266">
        <v>8</v>
      </c>
      <c r="I266">
        <v>7</v>
      </c>
    </row>
    <row r="267" spans="1:9" x14ac:dyDescent="0.3">
      <c r="A267" t="s">
        <v>311</v>
      </c>
      <c r="B267" t="s">
        <v>53</v>
      </c>
      <c r="C267" t="s">
        <v>44</v>
      </c>
      <c r="D267" s="6">
        <v>36846</v>
      </c>
      <c r="E267">
        <v>1</v>
      </c>
      <c r="F267">
        <v>27540</v>
      </c>
      <c r="G267">
        <v>1</v>
      </c>
      <c r="H267">
        <v>3</v>
      </c>
      <c r="I267">
        <v>5</v>
      </c>
    </row>
    <row r="268" spans="1:9" x14ac:dyDescent="0.3">
      <c r="A268" t="s">
        <v>312</v>
      </c>
      <c r="B268" t="s">
        <v>43</v>
      </c>
      <c r="C268" t="s">
        <v>46</v>
      </c>
      <c r="D268" s="6">
        <v>27055</v>
      </c>
      <c r="E268">
        <v>25</v>
      </c>
      <c r="F268">
        <v>42000</v>
      </c>
      <c r="G268">
        <v>3</v>
      </c>
      <c r="H268">
        <v>11</v>
      </c>
      <c r="I268">
        <v>7</v>
      </c>
    </row>
    <row r="269" spans="1:9" x14ac:dyDescent="0.3">
      <c r="A269" t="s">
        <v>313</v>
      </c>
      <c r="B269" t="s">
        <v>43</v>
      </c>
      <c r="C269" t="s">
        <v>46</v>
      </c>
      <c r="D269" s="6">
        <v>23899</v>
      </c>
      <c r="E269">
        <v>1</v>
      </c>
      <c r="F269">
        <v>28560</v>
      </c>
      <c r="G269">
        <v>3</v>
      </c>
      <c r="H269">
        <v>10</v>
      </c>
      <c r="I269">
        <v>7</v>
      </c>
    </row>
    <row r="270" spans="1:9" x14ac:dyDescent="0.3">
      <c r="A270" t="s">
        <v>314</v>
      </c>
      <c r="B270" t="s">
        <v>43</v>
      </c>
      <c r="C270" t="s">
        <v>44</v>
      </c>
      <c r="D270" s="6">
        <v>24285</v>
      </c>
      <c r="E270">
        <v>20</v>
      </c>
      <c r="F270">
        <v>42000</v>
      </c>
      <c r="G270">
        <v>2</v>
      </c>
      <c r="H270">
        <v>9</v>
      </c>
      <c r="I270">
        <v>6</v>
      </c>
    </row>
    <row r="271" spans="1:9" x14ac:dyDescent="0.3">
      <c r="A271" t="s">
        <v>315</v>
      </c>
      <c r="B271" t="s">
        <v>43</v>
      </c>
      <c r="C271" t="s">
        <v>46</v>
      </c>
      <c r="D271" s="6">
        <v>37044</v>
      </c>
      <c r="E271">
        <v>0</v>
      </c>
      <c r="F271">
        <v>30000</v>
      </c>
      <c r="G271">
        <v>1</v>
      </c>
      <c r="H271">
        <v>6</v>
      </c>
      <c r="I271">
        <v>6</v>
      </c>
    </row>
    <row r="272" spans="1:9" x14ac:dyDescent="0.3">
      <c r="A272" t="s">
        <v>316</v>
      </c>
      <c r="B272" t="s">
        <v>43</v>
      </c>
      <c r="C272" t="s">
        <v>46</v>
      </c>
      <c r="D272" s="6">
        <v>33986</v>
      </c>
      <c r="E272">
        <v>25</v>
      </c>
      <c r="F272">
        <v>97500</v>
      </c>
      <c r="G272">
        <v>1</v>
      </c>
      <c r="H272">
        <v>9</v>
      </c>
      <c r="I272">
        <v>9</v>
      </c>
    </row>
    <row r="273" spans="1:9" x14ac:dyDescent="0.3">
      <c r="A273" t="s">
        <v>317</v>
      </c>
      <c r="B273" t="s">
        <v>43</v>
      </c>
      <c r="C273" t="s">
        <v>44</v>
      </c>
      <c r="D273" s="6">
        <v>30958</v>
      </c>
      <c r="E273">
        <v>1</v>
      </c>
      <c r="F273">
        <v>32640</v>
      </c>
      <c r="G273">
        <v>3</v>
      </c>
      <c r="H273">
        <v>3</v>
      </c>
      <c r="I273">
        <v>2</v>
      </c>
    </row>
    <row r="274" spans="1:9" x14ac:dyDescent="0.3">
      <c r="A274" t="s">
        <v>318</v>
      </c>
      <c r="B274" t="s">
        <v>43</v>
      </c>
      <c r="C274" t="s">
        <v>44</v>
      </c>
      <c r="D274" s="6">
        <v>32520</v>
      </c>
      <c r="E274">
        <v>1</v>
      </c>
      <c r="F274">
        <v>40800</v>
      </c>
      <c r="G274">
        <v>2</v>
      </c>
      <c r="H274">
        <v>5</v>
      </c>
      <c r="I274">
        <v>4</v>
      </c>
    </row>
    <row r="275" spans="1:9" x14ac:dyDescent="0.3">
      <c r="A275" t="s">
        <v>319</v>
      </c>
      <c r="B275" t="s">
        <v>53</v>
      </c>
      <c r="C275" t="s">
        <v>46</v>
      </c>
      <c r="D275" s="6">
        <v>33898</v>
      </c>
      <c r="E275">
        <v>25</v>
      </c>
      <c r="F275">
        <v>42000</v>
      </c>
      <c r="G275">
        <v>3</v>
      </c>
      <c r="H275">
        <v>9</v>
      </c>
      <c r="I275">
        <v>7</v>
      </c>
    </row>
    <row r="276" spans="1:9" x14ac:dyDescent="0.3">
      <c r="A276" t="s">
        <v>320</v>
      </c>
      <c r="B276" t="s">
        <v>43</v>
      </c>
      <c r="C276" t="s">
        <v>44</v>
      </c>
      <c r="D276" s="6">
        <v>36558</v>
      </c>
      <c r="E276">
        <v>1</v>
      </c>
      <c r="F276">
        <v>40800</v>
      </c>
      <c r="G276">
        <v>2</v>
      </c>
      <c r="H276">
        <v>6</v>
      </c>
      <c r="I276">
        <v>4</v>
      </c>
    </row>
    <row r="277" spans="1:9" x14ac:dyDescent="0.3">
      <c r="A277" t="s">
        <v>321</v>
      </c>
      <c r="B277" t="s">
        <v>53</v>
      </c>
      <c r="C277" t="s">
        <v>46</v>
      </c>
      <c r="D277" s="6">
        <v>34889</v>
      </c>
      <c r="E277">
        <v>25</v>
      </c>
      <c r="F277">
        <v>75000</v>
      </c>
      <c r="G277">
        <v>1</v>
      </c>
      <c r="H277">
        <v>9</v>
      </c>
      <c r="I277">
        <v>15</v>
      </c>
    </row>
    <row r="278" spans="1:9" x14ac:dyDescent="0.3">
      <c r="A278" t="s">
        <v>322</v>
      </c>
      <c r="B278" t="s">
        <v>53</v>
      </c>
      <c r="C278" t="s">
        <v>44</v>
      </c>
      <c r="D278" s="6">
        <v>30476</v>
      </c>
      <c r="E278">
        <v>28</v>
      </c>
      <c r="F278">
        <v>42120</v>
      </c>
      <c r="G278">
        <v>3</v>
      </c>
      <c r="H278">
        <v>1</v>
      </c>
      <c r="I278">
        <v>5</v>
      </c>
    </row>
    <row r="279" spans="1:9" x14ac:dyDescent="0.3">
      <c r="A279" t="s">
        <v>323</v>
      </c>
      <c r="B279" t="s">
        <v>43</v>
      </c>
      <c r="C279" t="s">
        <v>46</v>
      </c>
      <c r="D279" s="6">
        <v>30863</v>
      </c>
      <c r="E279">
        <v>1</v>
      </c>
      <c r="F279">
        <v>26520</v>
      </c>
      <c r="G279">
        <v>2</v>
      </c>
      <c r="H279">
        <v>4</v>
      </c>
      <c r="I279">
        <v>3</v>
      </c>
    </row>
    <row r="280" spans="1:9" x14ac:dyDescent="0.3">
      <c r="A280" t="s">
        <v>324</v>
      </c>
      <c r="B280" t="s">
        <v>53</v>
      </c>
      <c r="C280" t="s">
        <v>44</v>
      </c>
      <c r="D280" s="6">
        <v>37347</v>
      </c>
      <c r="E280">
        <v>1</v>
      </c>
      <c r="F280">
        <v>28560</v>
      </c>
      <c r="G280">
        <v>2</v>
      </c>
      <c r="H280">
        <v>8</v>
      </c>
      <c r="I280">
        <v>7</v>
      </c>
    </row>
    <row r="281" spans="1:9" x14ac:dyDescent="0.3">
      <c r="A281" t="s">
        <v>325</v>
      </c>
      <c r="B281" t="s">
        <v>53</v>
      </c>
      <c r="C281" t="s">
        <v>44</v>
      </c>
      <c r="D281" s="6">
        <v>26793</v>
      </c>
      <c r="E281">
        <v>1</v>
      </c>
      <c r="F281">
        <v>66300</v>
      </c>
      <c r="G281">
        <v>1</v>
      </c>
      <c r="H281">
        <v>4</v>
      </c>
      <c r="I281">
        <v>9</v>
      </c>
    </row>
    <row r="282" spans="1:9" x14ac:dyDescent="0.3">
      <c r="A282" t="s">
        <v>326</v>
      </c>
      <c r="B282" t="s">
        <v>43</v>
      </c>
      <c r="C282" t="s">
        <v>46</v>
      </c>
      <c r="D282" s="6">
        <v>30527</v>
      </c>
      <c r="E282">
        <v>1</v>
      </c>
      <c r="F282">
        <v>61200</v>
      </c>
      <c r="G282">
        <v>1</v>
      </c>
      <c r="H282">
        <v>2</v>
      </c>
      <c r="I282">
        <v>8</v>
      </c>
    </row>
    <row r="283" spans="1:9" x14ac:dyDescent="0.3">
      <c r="A283" t="s">
        <v>327</v>
      </c>
      <c r="B283" t="s">
        <v>43</v>
      </c>
      <c r="C283" t="s">
        <v>44</v>
      </c>
      <c r="D283" s="6">
        <v>25120</v>
      </c>
      <c r="E283">
        <v>9</v>
      </c>
      <c r="F283">
        <v>31860</v>
      </c>
      <c r="G283">
        <v>1</v>
      </c>
      <c r="H283">
        <v>6</v>
      </c>
      <c r="I283">
        <v>5</v>
      </c>
    </row>
    <row r="284" spans="1:9" x14ac:dyDescent="0.3">
      <c r="A284" t="s">
        <v>328</v>
      </c>
      <c r="B284" t="s">
        <v>53</v>
      </c>
      <c r="C284" t="s">
        <v>46</v>
      </c>
      <c r="D284" s="6">
        <v>30821</v>
      </c>
      <c r="E284">
        <v>33</v>
      </c>
      <c r="F284">
        <v>41500</v>
      </c>
      <c r="G284">
        <v>1</v>
      </c>
      <c r="H284">
        <v>5</v>
      </c>
      <c r="I284">
        <v>1</v>
      </c>
    </row>
    <row r="285" spans="1:9" x14ac:dyDescent="0.3">
      <c r="A285" t="s">
        <v>329</v>
      </c>
      <c r="B285" t="s">
        <v>43</v>
      </c>
      <c r="C285" t="s">
        <v>46</v>
      </c>
      <c r="D285" s="6">
        <v>33998</v>
      </c>
      <c r="E285">
        <v>1</v>
      </c>
      <c r="F285">
        <v>30600</v>
      </c>
      <c r="G285">
        <v>1</v>
      </c>
      <c r="H285">
        <v>1</v>
      </c>
      <c r="I285">
        <v>6</v>
      </c>
    </row>
    <row r="286" spans="1:9" x14ac:dyDescent="0.3">
      <c r="A286" t="s">
        <v>330</v>
      </c>
      <c r="B286" t="s">
        <v>43</v>
      </c>
      <c r="C286" t="s">
        <v>44</v>
      </c>
      <c r="D286" s="6">
        <v>31555</v>
      </c>
      <c r="E286">
        <v>1</v>
      </c>
      <c r="F286">
        <v>32640</v>
      </c>
      <c r="G286">
        <v>1</v>
      </c>
      <c r="H286">
        <v>5</v>
      </c>
      <c r="I286">
        <v>2</v>
      </c>
    </row>
    <row r="287" spans="1:9" x14ac:dyDescent="0.3">
      <c r="A287" t="s">
        <v>331</v>
      </c>
      <c r="B287" t="s">
        <v>53</v>
      </c>
      <c r="C287" t="s">
        <v>44</v>
      </c>
      <c r="D287" s="6">
        <v>32815</v>
      </c>
      <c r="E287">
        <v>1</v>
      </c>
      <c r="F287">
        <v>32640</v>
      </c>
      <c r="G287">
        <v>1</v>
      </c>
      <c r="H287">
        <v>4</v>
      </c>
      <c r="I287">
        <v>2</v>
      </c>
    </row>
    <row r="288" spans="1:9" x14ac:dyDescent="0.3">
      <c r="A288" t="s">
        <v>332</v>
      </c>
      <c r="B288" t="s">
        <v>53</v>
      </c>
      <c r="C288" t="s">
        <v>46</v>
      </c>
      <c r="D288" s="6">
        <v>35427</v>
      </c>
      <c r="E288">
        <v>1</v>
      </c>
      <c r="F288">
        <v>25500</v>
      </c>
      <c r="G288">
        <v>1</v>
      </c>
      <c r="H288">
        <v>10</v>
      </c>
      <c r="I288">
        <v>1</v>
      </c>
    </row>
    <row r="289" spans="1:9" x14ac:dyDescent="0.3">
      <c r="A289" t="s">
        <v>333</v>
      </c>
      <c r="B289" t="s">
        <v>43</v>
      </c>
      <c r="C289" t="s">
        <v>44</v>
      </c>
      <c r="D289" s="6">
        <v>32955</v>
      </c>
      <c r="E289">
        <v>1</v>
      </c>
      <c r="F289">
        <v>32640</v>
      </c>
      <c r="G289">
        <v>1</v>
      </c>
      <c r="H289">
        <v>6</v>
      </c>
      <c r="I289">
        <v>2</v>
      </c>
    </row>
    <row r="290" spans="1:9" x14ac:dyDescent="0.3">
      <c r="A290" t="s">
        <v>334</v>
      </c>
      <c r="B290" t="s">
        <v>53</v>
      </c>
      <c r="C290" t="s">
        <v>44</v>
      </c>
      <c r="D290" s="6">
        <v>25222</v>
      </c>
      <c r="E290">
        <v>1</v>
      </c>
      <c r="F290">
        <v>26520</v>
      </c>
      <c r="G290">
        <v>1</v>
      </c>
      <c r="H290">
        <v>2</v>
      </c>
      <c r="I290">
        <v>3</v>
      </c>
    </row>
    <row r="291" spans="1:9" x14ac:dyDescent="0.3">
      <c r="A291" t="s">
        <v>335</v>
      </c>
      <c r="B291" t="s">
        <v>43</v>
      </c>
      <c r="C291" t="s">
        <v>46</v>
      </c>
      <c r="D291" s="6">
        <v>33603</v>
      </c>
      <c r="E291">
        <v>1</v>
      </c>
      <c r="F291">
        <v>30600</v>
      </c>
      <c r="G291">
        <v>1</v>
      </c>
      <c r="H291">
        <v>9</v>
      </c>
      <c r="I291">
        <v>6</v>
      </c>
    </row>
    <row r="292" spans="1:9" x14ac:dyDescent="0.3">
      <c r="A292" t="s">
        <v>336</v>
      </c>
      <c r="B292" t="s">
        <v>53</v>
      </c>
      <c r="C292" t="s">
        <v>46</v>
      </c>
      <c r="D292" s="6">
        <v>30845</v>
      </c>
      <c r="E292">
        <v>1</v>
      </c>
      <c r="F292">
        <v>25500</v>
      </c>
      <c r="G292">
        <v>1</v>
      </c>
      <c r="H292">
        <v>2</v>
      </c>
      <c r="I292">
        <v>1</v>
      </c>
    </row>
    <row r="293" spans="1:9" x14ac:dyDescent="0.3">
      <c r="A293" t="s">
        <v>337</v>
      </c>
      <c r="B293" t="s">
        <v>53</v>
      </c>
      <c r="C293" t="s">
        <v>46</v>
      </c>
      <c r="D293" s="6">
        <v>24226</v>
      </c>
      <c r="E293">
        <v>1</v>
      </c>
      <c r="F293">
        <v>66300</v>
      </c>
      <c r="G293">
        <v>1</v>
      </c>
      <c r="H293">
        <v>6</v>
      </c>
      <c r="I293">
        <v>9</v>
      </c>
    </row>
    <row r="294" spans="1:9" x14ac:dyDescent="0.3">
      <c r="A294" t="s">
        <v>338</v>
      </c>
      <c r="B294" t="s">
        <v>43</v>
      </c>
      <c r="C294" t="s">
        <v>46</v>
      </c>
      <c r="D294" s="6">
        <v>24192</v>
      </c>
      <c r="E294">
        <v>1</v>
      </c>
      <c r="F294">
        <v>40800</v>
      </c>
      <c r="G294">
        <v>1</v>
      </c>
      <c r="H294">
        <v>7</v>
      </c>
      <c r="I294">
        <v>4</v>
      </c>
    </row>
    <row r="295" spans="1:9" x14ac:dyDescent="0.3">
      <c r="A295" t="s">
        <v>339</v>
      </c>
      <c r="B295" t="s">
        <v>43</v>
      </c>
      <c r="C295" t="s">
        <v>46</v>
      </c>
      <c r="D295" s="6">
        <v>27665</v>
      </c>
      <c r="E295">
        <v>1</v>
      </c>
      <c r="F295">
        <v>26520</v>
      </c>
      <c r="G295">
        <v>1</v>
      </c>
      <c r="H295">
        <v>4</v>
      </c>
      <c r="I295">
        <v>3</v>
      </c>
    </row>
    <row r="296" spans="1:9" x14ac:dyDescent="0.3">
      <c r="A296" t="s">
        <v>340</v>
      </c>
      <c r="B296" t="s">
        <v>43</v>
      </c>
      <c r="C296" t="s">
        <v>44</v>
      </c>
      <c r="D296" s="6">
        <v>23879</v>
      </c>
      <c r="E296">
        <v>1</v>
      </c>
      <c r="F296">
        <v>25500</v>
      </c>
      <c r="G296">
        <v>1</v>
      </c>
      <c r="H296">
        <v>8</v>
      </c>
      <c r="I296">
        <v>1</v>
      </c>
    </row>
    <row r="297" spans="1:9" x14ac:dyDescent="0.3">
      <c r="A297" t="s">
        <v>341</v>
      </c>
      <c r="B297" t="s">
        <v>43</v>
      </c>
      <c r="C297" t="s">
        <v>46</v>
      </c>
      <c r="D297" s="6">
        <v>35804</v>
      </c>
      <c r="E297">
        <v>19</v>
      </c>
      <c r="F297">
        <v>96600</v>
      </c>
      <c r="G297">
        <v>1</v>
      </c>
      <c r="H297">
        <v>2</v>
      </c>
      <c r="I297">
        <v>10</v>
      </c>
    </row>
    <row r="298" spans="1:9" x14ac:dyDescent="0.3">
      <c r="A298" t="s">
        <v>342</v>
      </c>
      <c r="B298" t="s">
        <v>43</v>
      </c>
      <c r="C298" t="s">
        <v>44</v>
      </c>
      <c r="D298" s="6">
        <v>30668</v>
      </c>
      <c r="E298">
        <v>27</v>
      </c>
      <c r="F298">
        <v>49280</v>
      </c>
      <c r="G298">
        <v>1</v>
      </c>
      <c r="H298">
        <v>6</v>
      </c>
      <c r="I298">
        <v>2</v>
      </c>
    </row>
    <row r="299" spans="1:9" x14ac:dyDescent="0.3">
      <c r="A299" t="s">
        <v>343</v>
      </c>
      <c r="B299" t="s">
        <v>43</v>
      </c>
      <c r="C299" t="s">
        <v>46</v>
      </c>
      <c r="D299" s="6">
        <v>34122</v>
      </c>
      <c r="E299">
        <v>1</v>
      </c>
      <c r="F299">
        <v>51000</v>
      </c>
      <c r="G299">
        <v>1</v>
      </c>
      <c r="H299">
        <v>5</v>
      </c>
      <c r="I299">
        <v>15</v>
      </c>
    </row>
    <row r="300" spans="1:9" x14ac:dyDescent="0.3">
      <c r="A300" t="s">
        <v>344</v>
      </c>
      <c r="B300" t="s">
        <v>43</v>
      </c>
      <c r="C300" t="s">
        <v>46</v>
      </c>
      <c r="D300" s="6">
        <v>30409</v>
      </c>
      <c r="E300">
        <v>25</v>
      </c>
      <c r="F300">
        <v>42000</v>
      </c>
      <c r="G300">
        <v>1</v>
      </c>
      <c r="H300">
        <v>10</v>
      </c>
      <c r="I300">
        <v>7</v>
      </c>
    </row>
    <row r="301" spans="1:9" x14ac:dyDescent="0.3">
      <c r="A301" t="s">
        <v>345</v>
      </c>
      <c r="B301" t="s">
        <v>43</v>
      </c>
      <c r="C301" t="s">
        <v>44</v>
      </c>
      <c r="D301" s="6">
        <v>37467</v>
      </c>
      <c r="E301">
        <v>1</v>
      </c>
      <c r="F301">
        <v>26520</v>
      </c>
      <c r="G301">
        <v>1</v>
      </c>
      <c r="H301">
        <v>3</v>
      </c>
      <c r="I301">
        <v>3</v>
      </c>
    </row>
    <row r="302" spans="1:9" x14ac:dyDescent="0.3">
      <c r="A302" t="s">
        <v>346</v>
      </c>
      <c r="B302" t="s">
        <v>43</v>
      </c>
      <c r="C302" t="s">
        <v>44</v>
      </c>
      <c r="D302" s="6">
        <v>33063</v>
      </c>
      <c r="E302">
        <v>1</v>
      </c>
      <c r="F302">
        <v>27540</v>
      </c>
      <c r="G302">
        <v>1</v>
      </c>
      <c r="H302">
        <v>1</v>
      </c>
      <c r="I302">
        <v>5</v>
      </c>
    </row>
    <row r="303" spans="1:9" x14ac:dyDescent="0.3">
      <c r="A303" t="s">
        <v>347</v>
      </c>
      <c r="B303" t="s">
        <v>53</v>
      </c>
      <c r="C303" t="s">
        <v>46</v>
      </c>
      <c r="D303" s="6">
        <v>30986</v>
      </c>
      <c r="E303">
        <v>25</v>
      </c>
      <c r="F303">
        <v>105000</v>
      </c>
      <c r="G303">
        <v>1</v>
      </c>
      <c r="H303">
        <v>5</v>
      </c>
      <c r="I303">
        <v>10</v>
      </c>
    </row>
    <row r="304" spans="1:9" x14ac:dyDescent="0.3">
      <c r="A304" t="s">
        <v>348</v>
      </c>
      <c r="B304" t="s">
        <v>43</v>
      </c>
      <c r="C304" t="s">
        <v>44</v>
      </c>
      <c r="D304" s="6">
        <v>31531</v>
      </c>
      <c r="E304">
        <v>1</v>
      </c>
      <c r="F304">
        <v>30600</v>
      </c>
      <c r="G304">
        <v>1</v>
      </c>
      <c r="H304">
        <v>4</v>
      </c>
      <c r="I304">
        <v>6</v>
      </c>
    </row>
    <row r="305" spans="1:9" x14ac:dyDescent="0.3">
      <c r="A305" t="s">
        <v>349</v>
      </c>
      <c r="B305" t="s">
        <v>43</v>
      </c>
      <c r="C305" t="s">
        <v>44</v>
      </c>
      <c r="D305" s="6">
        <v>32903</v>
      </c>
      <c r="E305">
        <v>18</v>
      </c>
      <c r="F305">
        <v>95200</v>
      </c>
      <c r="G305">
        <v>1</v>
      </c>
      <c r="H305">
        <v>11</v>
      </c>
      <c r="I305">
        <v>10</v>
      </c>
    </row>
    <row r="306" spans="1:9" x14ac:dyDescent="0.3">
      <c r="A306" t="s">
        <v>350</v>
      </c>
      <c r="B306" t="s">
        <v>53</v>
      </c>
      <c r="C306" t="s">
        <v>44</v>
      </c>
      <c r="D306" s="6">
        <v>35070</v>
      </c>
      <c r="E306">
        <v>1</v>
      </c>
      <c r="F306">
        <v>66300</v>
      </c>
      <c r="G306">
        <v>1</v>
      </c>
      <c r="H306">
        <v>2</v>
      </c>
      <c r="I306">
        <v>9</v>
      </c>
    </row>
    <row r="307" spans="1:9" x14ac:dyDescent="0.3">
      <c r="A307" t="s">
        <v>351</v>
      </c>
      <c r="B307" t="s">
        <v>43</v>
      </c>
      <c r="C307" t="s">
        <v>44</v>
      </c>
      <c r="D307" s="6">
        <v>29392</v>
      </c>
      <c r="E307">
        <v>0</v>
      </c>
      <c r="F307">
        <v>28000</v>
      </c>
      <c r="G307">
        <v>1</v>
      </c>
      <c r="H307">
        <v>2</v>
      </c>
      <c r="I307">
        <v>7</v>
      </c>
    </row>
    <row r="308" spans="1:9" x14ac:dyDescent="0.3">
      <c r="A308" t="s">
        <v>352</v>
      </c>
      <c r="B308" t="s">
        <v>53</v>
      </c>
      <c r="C308" t="s">
        <v>44</v>
      </c>
      <c r="D308" s="6">
        <v>24390</v>
      </c>
      <c r="E308">
        <v>7</v>
      </c>
      <c r="F308">
        <v>57000</v>
      </c>
      <c r="G308">
        <v>1</v>
      </c>
      <c r="H308">
        <v>4</v>
      </c>
      <c r="I308">
        <v>15</v>
      </c>
    </row>
    <row r="309" spans="1:9" x14ac:dyDescent="0.3">
      <c r="A309" t="s">
        <v>353</v>
      </c>
      <c r="B309" t="s">
        <v>43</v>
      </c>
      <c r="C309" t="s">
        <v>44</v>
      </c>
      <c r="D309" s="6">
        <v>30020</v>
      </c>
      <c r="E309">
        <v>1</v>
      </c>
      <c r="F309">
        <v>40800</v>
      </c>
      <c r="G309">
        <v>1</v>
      </c>
      <c r="H309">
        <v>6</v>
      </c>
      <c r="I309">
        <v>4</v>
      </c>
    </row>
    <row r="310" spans="1:9" x14ac:dyDescent="0.3">
      <c r="A310" t="s">
        <v>354</v>
      </c>
      <c r="B310" t="s">
        <v>43</v>
      </c>
      <c r="C310" t="s">
        <v>46</v>
      </c>
      <c r="D310" s="6">
        <v>27316</v>
      </c>
      <c r="E310">
        <v>1</v>
      </c>
      <c r="F310">
        <v>71400</v>
      </c>
      <c r="G310">
        <v>1</v>
      </c>
      <c r="H310">
        <v>4</v>
      </c>
      <c r="I310">
        <v>10</v>
      </c>
    </row>
    <row r="311" spans="1:9" x14ac:dyDescent="0.3">
      <c r="A311" t="s">
        <v>355</v>
      </c>
      <c r="B311" t="s">
        <v>43</v>
      </c>
      <c r="C311" t="s">
        <v>46</v>
      </c>
      <c r="D311" s="6">
        <v>25894</v>
      </c>
      <c r="E311">
        <v>35</v>
      </c>
      <c r="F311">
        <v>119000</v>
      </c>
      <c r="G311">
        <v>1</v>
      </c>
      <c r="H311">
        <v>9</v>
      </c>
      <c r="I311">
        <v>10</v>
      </c>
    </row>
    <row r="312" spans="1:9" x14ac:dyDescent="0.3">
      <c r="A312" t="s">
        <v>356</v>
      </c>
      <c r="B312" t="s">
        <v>53</v>
      </c>
      <c r="C312" t="s">
        <v>46</v>
      </c>
      <c r="D312" s="6">
        <v>36528</v>
      </c>
      <c r="E312">
        <v>10</v>
      </c>
      <c r="F312">
        <v>38400</v>
      </c>
      <c r="G312">
        <v>1</v>
      </c>
      <c r="H312">
        <v>9</v>
      </c>
      <c r="I312">
        <v>2</v>
      </c>
    </row>
    <row r="313" spans="1:9" x14ac:dyDescent="0.3">
      <c r="A313" t="s">
        <v>357</v>
      </c>
      <c r="B313" t="s">
        <v>53</v>
      </c>
      <c r="C313" t="s">
        <v>46</v>
      </c>
      <c r="D313" s="6">
        <v>32758</v>
      </c>
      <c r="E313">
        <v>31</v>
      </c>
      <c r="F313">
        <v>40500</v>
      </c>
      <c r="G313">
        <v>1</v>
      </c>
      <c r="H313">
        <v>5</v>
      </c>
      <c r="I313">
        <v>1</v>
      </c>
    </row>
    <row r="314" spans="1:9" x14ac:dyDescent="0.3">
      <c r="A314" t="s">
        <v>358</v>
      </c>
      <c r="B314" t="s">
        <v>53</v>
      </c>
      <c r="C314" t="s">
        <v>46</v>
      </c>
      <c r="D314" s="6">
        <v>32686</v>
      </c>
      <c r="E314">
        <v>1</v>
      </c>
      <c r="F314">
        <v>30600</v>
      </c>
      <c r="G314">
        <v>1</v>
      </c>
      <c r="H314">
        <v>4</v>
      </c>
      <c r="I314">
        <v>6</v>
      </c>
    </row>
    <row r="315" spans="1:9" x14ac:dyDescent="0.3">
      <c r="A315" t="s">
        <v>359</v>
      </c>
      <c r="B315" t="s">
        <v>53</v>
      </c>
      <c r="C315" t="s">
        <v>46</v>
      </c>
      <c r="D315" s="6">
        <v>33021</v>
      </c>
      <c r="E315">
        <v>28</v>
      </c>
      <c r="F315">
        <v>39000</v>
      </c>
      <c r="G315">
        <v>1</v>
      </c>
      <c r="H315">
        <v>6</v>
      </c>
      <c r="I315">
        <v>1</v>
      </c>
    </row>
    <row r="316" spans="1:9" x14ac:dyDescent="0.3">
      <c r="A316" t="s">
        <v>360</v>
      </c>
      <c r="B316" t="s">
        <v>53</v>
      </c>
      <c r="C316" t="s">
        <v>46</v>
      </c>
      <c r="D316" s="6">
        <v>31242</v>
      </c>
      <c r="E316">
        <v>29</v>
      </c>
      <c r="F316">
        <v>42660</v>
      </c>
      <c r="G316">
        <v>1</v>
      </c>
      <c r="H316">
        <v>1</v>
      </c>
      <c r="I316">
        <v>5</v>
      </c>
    </row>
    <row r="317" spans="1:9" x14ac:dyDescent="0.3">
      <c r="A317" t="s">
        <v>361</v>
      </c>
      <c r="B317" t="s">
        <v>43</v>
      </c>
      <c r="C317" t="s">
        <v>46</v>
      </c>
      <c r="D317" s="6">
        <v>37918</v>
      </c>
      <c r="E317">
        <v>1</v>
      </c>
      <c r="F317">
        <v>27540</v>
      </c>
      <c r="G317">
        <v>1</v>
      </c>
      <c r="H317">
        <v>4</v>
      </c>
      <c r="I317">
        <v>5</v>
      </c>
    </row>
    <row r="318" spans="1:9" x14ac:dyDescent="0.3">
      <c r="A318" t="s">
        <v>362</v>
      </c>
      <c r="B318" t="s">
        <v>43</v>
      </c>
      <c r="C318" t="s">
        <v>44</v>
      </c>
      <c r="D318" s="6">
        <v>30687</v>
      </c>
      <c r="E318">
        <v>27</v>
      </c>
      <c r="F318">
        <v>38500</v>
      </c>
      <c r="G318">
        <v>1</v>
      </c>
      <c r="H318">
        <v>6</v>
      </c>
      <c r="I318">
        <v>1</v>
      </c>
    </row>
    <row r="319" spans="1:9" x14ac:dyDescent="0.3">
      <c r="A319" t="s">
        <v>363</v>
      </c>
      <c r="B319" t="s">
        <v>43</v>
      </c>
      <c r="C319" t="s">
        <v>46</v>
      </c>
      <c r="D319" s="6">
        <v>37050</v>
      </c>
      <c r="E319">
        <v>1</v>
      </c>
      <c r="F319">
        <v>30600</v>
      </c>
      <c r="G319">
        <v>1</v>
      </c>
      <c r="H319">
        <v>8</v>
      </c>
      <c r="I319">
        <v>6</v>
      </c>
    </row>
    <row r="320" spans="1:9" x14ac:dyDescent="0.3">
      <c r="A320" t="s">
        <v>364</v>
      </c>
      <c r="B320" t="s">
        <v>43</v>
      </c>
      <c r="C320" t="s">
        <v>44</v>
      </c>
      <c r="D320" s="6">
        <v>33790</v>
      </c>
      <c r="E320">
        <v>26</v>
      </c>
      <c r="F320">
        <v>91200</v>
      </c>
      <c r="G320">
        <v>1</v>
      </c>
      <c r="H320">
        <v>7</v>
      </c>
      <c r="I320">
        <v>8</v>
      </c>
    </row>
    <row r="321" spans="1:9" x14ac:dyDescent="0.3">
      <c r="A321" t="s">
        <v>365</v>
      </c>
      <c r="B321" t="s">
        <v>53</v>
      </c>
      <c r="C321" t="s">
        <v>44</v>
      </c>
      <c r="D321" s="6">
        <v>30958</v>
      </c>
      <c r="E321">
        <v>6</v>
      </c>
      <c r="F321">
        <v>35840</v>
      </c>
      <c r="G321">
        <v>1</v>
      </c>
      <c r="H321">
        <v>4</v>
      </c>
      <c r="I321">
        <v>2</v>
      </c>
    </row>
    <row r="322" spans="1:9" x14ac:dyDescent="0.3">
      <c r="A322" t="s">
        <v>366</v>
      </c>
      <c r="B322" t="s">
        <v>53</v>
      </c>
      <c r="C322" t="s">
        <v>46</v>
      </c>
      <c r="D322" s="6">
        <v>32930</v>
      </c>
      <c r="E322">
        <v>1</v>
      </c>
      <c r="F322">
        <v>30600</v>
      </c>
      <c r="G322">
        <v>1</v>
      </c>
      <c r="H322">
        <v>5</v>
      </c>
      <c r="I322">
        <v>6</v>
      </c>
    </row>
    <row r="323" spans="1:9" x14ac:dyDescent="0.3">
      <c r="A323" t="s">
        <v>367</v>
      </c>
      <c r="B323" t="s">
        <v>53</v>
      </c>
      <c r="C323" t="s">
        <v>46</v>
      </c>
      <c r="D323" s="6">
        <v>33211</v>
      </c>
      <c r="E323">
        <v>26</v>
      </c>
      <c r="F323">
        <v>91200</v>
      </c>
      <c r="G323">
        <v>1</v>
      </c>
      <c r="H323">
        <v>6</v>
      </c>
      <c r="I323">
        <v>8</v>
      </c>
    </row>
    <row r="324" spans="1:9" x14ac:dyDescent="0.3">
      <c r="A324" t="s">
        <v>368</v>
      </c>
      <c r="B324" t="s">
        <v>43</v>
      </c>
      <c r="C324" t="s">
        <v>46</v>
      </c>
      <c r="D324" s="6">
        <v>37286</v>
      </c>
      <c r="E324">
        <v>1</v>
      </c>
      <c r="F324">
        <v>61200</v>
      </c>
      <c r="G324">
        <v>1</v>
      </c>
      <c r="H324">
        <v>11</v>
      </c>
      <c r="I324">
        <v>8</v>
      </c>
    </row>
    <row r="325" spans="1:9" x14ac:dyDescent="0.3">
      <c r="A325" t="s">
        <v>369</v>
      </c>
      <c r="B325" t="s">
        <v>43</v>
      </c>
      <c r="C325" t="s">
        <v>46</v>
      </c>
      <c r="D325" s="6">
        <v>27210</v>
      </c>
      <c r="E325">
        <v>1</v>
      </c>
      <c r="F325">
        <v>71400</v>
      </c>
      <c r="G325">
        <v>1</v>
      </c>
      <c r="H325">
        <v>1</v>
      </c>
      <c r="I325">
        <v>10</v>
      </c>
    </row>
    <row r="326" spans="1:9" x14ac:dyDescent="0.3">
      <c r="A326" t="s">
        <v>370</v>
      </c>
      <c r="B326" t="s">
        <v>53</v>
      </c>
      <c r="C326" t="s">
        <v>44</v>
      </c>
      <c r="D326" s="6">
        <v>30030</v>
      </c>
      <c r="E326">
        <v>1</v>
      </c>
      <c r="F326">
        <v>27540</v>
      </c>
      <c r="G326">
        <v>1</v>
      </c>
      <c r="H326">
        <v>8</v>
      </c>
      <c r="I326">
        <v>5</v>
      </c>
    </row>
    <row r="327" spans="1:9" x14ac:dyDescent="0.3">
      <c r="A327" t="s">
        <v>371</v>
      </c>
      <c r="B327" t="s">
        <v>43</v>
      </c>
      <c r="C327" t="s">
        <v>44</v>
      </c>
      <c r="D327" s="6">
        <v>35549</v>
      </c>
      <c r="E327">
        <v>1</v>
      </c>
      <c r="F327">
        <v>40800</v>
      </c>
      <c r="G327">
        <v>1</v>
      </c>
      <c r="H327">
        <v>1</v>
      </c>
      <c r="I327">
        <v>4</v>
      </c>
    </row>
    <row r="328" spans="1:9" x14ac:dyDescent="0.3">
      <c r="A328" t="s">
        <v>372</v>
      </c>
      <c r="B328" t="s">
        <v>43</v>
      </c>
      <c r="C328" t="s">
        <v>44</v>
      </c>
      <c r="D328" s="6">
        <v>30114</v>
      </c>
      <c r="E328">
        <v>0</v>
      </c>
      <c r="F328">
        <v>60000</v>
      </c>
      <c r="G328">
        <v>1</v>
      </c>
      <c r="H328">
        <v>4</v>
      </c>
      <c r="I328">
        <v>8</v>
      </c>
    </row>
    <row r="329" spans="1:9" x14ac:dyDescent="0.3">
      <c r="A329" t="s">
        <v>373</v>
      </c>
      <c r="B329" t="s">
        <v>43</v>
      </c>
      <c r="C329" t="s">
        <v>46</v>
      </c>
      <c r="D329" s="6">
        <v>24682</v>
      </c>
      <c r="E329">
        <v>1</v>
      </c>
      <c r="F329">
        <v>25500</v>
      </c>
      <c r="G329">
        <v>1</v>
      </c>
      <c r="H329">
        <v>6</v>
      </c>
      <c r="I329">
        <v>1</v>
      </c>
    </row>
    <row r="330" spans="1:9" x14ac:dyDescent="0.3">
      <c r="A330" t="s">
        <v>374</v>
      </c>
      <c r="B330" t="s">
        <v>43</v>
      </c>
      <c r="C330" t="s">
        <v>46</v>
      </c>
      <c r="D330" s="6">
        <v>33309</v>
      </c>
      <c r="E330">
        <v>31</v>
      </c>
      <c r="F330">
        <v>40500</v>
      </c>
      <c r="G330">
        <v>1</v>
      </c>
      <c r="H330">
        <v>8</v>
      </c>
      <c r="I330">
        <v>1</v>
      </c>
    </row>
    <row r="331" spans="1:9" x14ac:dyDescent="0.3">
      <c r="A331" t="s">
        <v>375</v>
      </c>
      <c r="B331" t="s">
        <v>53</v>
      </c>
      <c r="C331" t="s">
        <v>44</v>
      </c>
      <c r="D331" s="6">
        <v>25957</v>
      </c>
      <c r="E331">
        <v>8</v>
      </c>
      <c r="F331">
        <v>81200</v>
      </c>
      <c r="G331">
        <v>1</v>
      </c>
      <c r="H331">
        <v>4</v>
      </c>
      <c r="I331">
        <v>10</v>
      </c>
    </row>
    <row r="332" spans="1:9" x14ac:dyDescent="0.3">
      <c r="A332" t="s">
        <v>376</v>
      </c>
      <c r="B332" t="s">
        <v>43</v>
      </c>
      <c r="C332" t="s">
        <v>44</v>
      </c>
      <c r="D332" s="6">
        <v>23688</v>
      </c>
      <c r="E332">
        <v>1</v>
      </c>
      <c r="F332">
        <v>26520</v>
      </c>
      <c r="G332">
        <v>1</v>
      </c>
      <c r="H332">
        <v>9</v>
      </c>
      <c r="I332">
        <v>3</v>
      </c>
    </row>
    <row r="333" spans="1:9" x14ac:dyDescent="0.3">
      <c r="A333" t="s">
        <v>377</v>
      </c>
      <c r="B333" t="s">
        <v>43</v>
      </c>
      <c r="C333" t="s">
        <v>46</v>
      </c>
      <c r="D333" s="6">
        <v>33712</v>
      </c>
      <c r="E333">
        <v>35</v>
      </c>
      <c r="F333">
        <v>68000</v>
      </c>
      <c r="G333">
        <v>1</v>
      </c>
      <c r="H333">
        <v>6</v>
      </c>
      <c r="I333">
        <v>4</v>
      </c>
    </row>
    <row r="334" spans="1:9" x14ac:dyDescent="0.3">
      <c r="A334" t="s">
        <v>378</v>
      </c>
      <c r="B334" t="s">
        <v>53</v>
      </c>
      <c r="C334" t="s">
        <v>46</v>
      </c>
      <c r="D334" s="6">
        <v>35915</v>
      </c>
      <c r="E334">
        <v>2</v>
      </c>
      <c r="F334">
        <v>67600</v>
      </c>
      <c r="G334">
        <v>1</v>
      </c>
      <c r="H334">
        <v>4</v>
      </c>
      <c r="I334">
        <v>9</v>
      </c>
    </row>
    <row r="335" spans="1:9" x14ac:dyDescent="0.3">
      <c r="A335" t="s">
        <v>379</v>
      </c>
      <c r="B335" t="s">
        <v>53</v>
      </c>
      <c r="C335" t="s">
        <v>46</v>
      </c>
      <c r="D335" s="6">
        <v>28319</v>
      </c>
      <c r="E335">
        <v>1</v>
      </c>
      <c r="F335">
        <v>71400</v>
      </c>
      <c r="G335">
        <v>1</v>
      </c>
      <c r="H335">
        <v>5</v>
      </c>
      <c r="I335">
        <v>10</v>
      </c>
    </row>
    <row r="336" spans="1:9" x14ac:dyDescent="0.3">
      <c r="A336" t="s">
        <v>380</v>
      </c>
      <c r="B336" t="s">
        <v>53</v>
      </c>
      <c r="C336" t="s">
        <v>44</v>
      </c>
      <c r="D336" s="6">
        <v>37586</v>
      </c>
      <c r="E336">
        <v>1</v>
      </c>
      <c r="F336">
        <v>25500</v>
      </c>
      <c r="G336">
        <v>1</v>
      </c>
      <c r="H336">
        <v>5</v>
      </c>
      <c r="I336">
        <v>1</v>
      </c>
    </row>
    <row r="337" spans="1:9" x14ac:dyDescent="0.3">
      <c r="A337" t="s">
        <v>381</v>
      </c>
      <c r="B337" t="s">
        <v>43</v>
      </c>
      <c r="C337" t="s">
        <v>44</v>
      </c>
      <c r="D337" s="6">
        <v>31441</v>
      </c>
      <c r="E337">
        <v>1</v>
      </c>
      <c r="F337">
        <v>66300</v>
      </c>
      <c r="G337">
        <v>1</v>
      </c>
      <c r="H337">
        <v>8</v>
      </c>
      <c r="I337">
        <v>9</v>
      </c>
    </row>
    <row r="338" spans="1:9" x14ac:dyDescent="0.3">
      <c r="A338" t="s">
        <v>382</v>
      </c>
      <c r="B338" t="s">
        <v>43</v>
      </c>
      <c r="C338" t="s">
        <v>46</v>
      </c>
      <c r="D338" s="6">
        <v>34397</v>
      </c>
      <c r="E338">
        <v>13</v>
      </c>
      <c r="F338">
        <v>35280</v>
      </c>
      <c r="G338">
        <v>1</v>
      </c>
      <c r="H338">
        <v>3</v>
      </c>
      <c r="I338">
        <v>7</v>
      </c>
    </row>
    <row r="339" spans="1:9" x14ac:dyDescent="0.3">
      <c r="A339" t="s">
        <v>383</v>
      </c>
      <c r="B339" t="s">
        <v>43</v>
      </c>
      <c r="C339" t="s">
        <v>46</v>
      </c>
      <c r="D339" s="6">
        <v>33301</v>
      </c>
      <c r="E339">
        <v>1</v>
      </c>
      <c r="F339">
        <v>27540</v>
      </c>
      <c r="G339">
        <v>1</v>
      </c>
      <c r="H339">
        <v>4</v>
      </c>
      <c r="I339">
        <v>5</v>
      </c>
    </row>
    <row r="340" spans="1:9" x14ac:dyDescent="0.3">
      <c r="A340" t="s">
        <v>384</v>
      </c>
      <c r="B340" t="s">
        <v>43</v>
      </c>
      <c r="C340" t="s">
        <v>44</v>
      </c>
      <c r="D340" s="6">
        <v>31744</v>
      </c>
      <c r="E340">
        <v>1</v>
      </c>
      <c r="F340">
        <v>61200</v>
      </c>
      <c r="G340">
        <v>1</v>
      </c>
      <c r="H340">
        <v>3</v>
      </c>
      <c r="I340">
        <v>8</v>
      </c>
    </row>
    <row r="341" spans="1:9" x14ac:dyDescent="0.3">
      <c r="A341" t="s">
        <v>385</v>
      </c>
      <c r="B341" t="s">
        <v>43</v>
      </c>
      <c r="C341" t="s">
        <v>44</v>
      </c>
      <c r="D341" s="6">
        <v>30999</v>
      </c>
      <c r="E341">
        <v>1</v>
      </c>
      <c r="F341">
        <v>30600</v>
      </c>
      <c r="G341">
        <v>1</v>
      </c>
      <c r="H341">
        <v>5</v>
      </c>
      <c r="I341">
        <v>6</v>
      </c>
    </row>
    <row r="342" spans="1:9" x14ac:dyDescent="0.3">
      <c r="A342" t="s">
        <v>386</v>
      </c>
      <c r="B342" t="s">
        <v>53</v>
      </c>
      <c r="C342" t="s">
        <v>46</v>
      </c>
      <c r="D342" s="6">
        <v>31168</v>
      </c>
      <c r="E342">
        <v>7</v>
      </c>
      <c r="F342">
        <v>68400</v>
      </c>
      <c r="G342">
        <v>1</v>
      </c>
      <c r="H342">
        <v>10</v>
      </c>
      <c r="I342">
        <v>8</v>
      </c>
    </row>
    <row r="343" spans="1:9" x14ac:dyDescent="0.3">
      <c r="A343" t="s">
        <v>387</v>
      </c>
      <c r="B343" t="s">
        <v>43</v>
      </c>
      <c r="C343" t="s">
        <v>46</v>
      </c>
      <c r="D343" s="6">
        <v>28215</v>
      </c>
      <c r="E343">
        <v>1</v>
      </c>
      <c r="F343">
        <v>51000</v>
      </c>
      <c r="G343">
        <v>1</v>
      </c>
      <c r="H343">
        <v>9</v>
      </c>
      <c r="I343">
        <v>15</v>
      </c>
    </row>
    <row r="344" spans="1:9" x14ac:dyDescent="0.3">
      <c r="A344" t="s">
        <v>388</v>
      </c>
      <c r="B344" t="s">
        <v>53</v>
      </c>
      <c r="C344" t="s">
        <v>46</v>
      </c>
      <c r="D344" s="6">
        <v>32008</v>
      </c>
      <c r="E344">
        <v>20</v>
      </c>
      <c r="F344">
        <v>36400</v>
      </c>
      <c r="G344">
        <v>1</v>
      </c>
      <c r="H344">
        <v>10</v>
      </c>
      <c r="I344">
        <v>3</v>
      </c>
    </row>
    <row r="345" spans="1:9" x14ac:dyDescent="0.3">
      <c r="A345" t="s">
        <v>389</v>
      </c>
      <c r="B345" t="s">
        <v>43</v>
      </c>
      <c r="C345" t="s">
        <v>44</v>
      </c>
      <c r="D345" s="6">
        <v>31635</v>
      </c>
      <c r="E345">
        <v>1</v>
      </c>
      <c r="F345">
        <v>27540</v>
      </c>
      <c r="G345">
        <v>1</v>
      </c>
      <c r="H345">
        <v>2</v>
      </c>
      <c r="I345">
        <v>5</v>
      </c>
    </row>
    <row r="346" spans="1:9" x14ac:dyDescent="0.3">
      <c r="A346" t="s">
        <v>390</v>
      </c>
      <c r="B346" t="s">
        <v>43</v>
      </c>
      <c r="C346" t="s">
        <v>46</v>
      </c>
      <c r="D346" s="6">
        <v>36898</v>
      </c>
      <c r="E346">
        <v>1</v>
      </c>
      <c r="F346">
        <v>28560</v>
      </c>
      <c r="G346">
        <v>1</v>
      </c>
      <c r="H346">
        <v>10</v>
      </c>
      <c r="I346">
        <v>7</v>
      </c>
    </row>
    <row r="347" spans="1:9" x14ac:dyDescent="0.3">
      <c r="A347" t="s">
        <v>391</v>
      </c>
      <c r="B347" t="s">
        <v>53</v>
      </c>
      <c r="C347" t="s">
        <v>46</v>
      </c>
      <c r="D347" s="6">
        <v>26644</v>
      </c>
      <c r="E347">
        <v>8</v>
      </c>
      <c r="F347">
        <v>58000</v>
      </c>
      <c r="G347">
        <v>1</v>
      </c>
      <c r="H347">
        <v>4</v>
      </c>
      <c r="I347">
        <v>15</v>
      </c>
    </row>
    <row r="348" spans="1:9" x14ac:dyDescent="0.3">
      <c r="A348" t="s">
        <v>392</v>
      </c>
      <c r="B348" t="s">
        <v>53</v>
      </c>
      <c r="C348" t="s">
        <v>44</v>
      </c>
      <c r="D348" s="6">
        <v>33365</v>
      </c>
      <c r="E348">
        <v>13</v>
      </c>
      <c r="F348">
        <v>81900</v>
      </c>
      <c r="G348">
        <v>1</v>
      </c>
      <c r="H348">
        <v>2</v>
      </c>
      <c r="I348">
        <v>9</v>
      </c>
    </row>
    <row r="349" spans="1:9" x14ac:dyDescent="0.3">
      <c r="A349" t="s">
        <v>393</v>
      </c>
      <c r="B349" t="s">
        <v>53</v>
      </c>
      <c r="C349" t="s">
        <v>44</v>
      </c>
      <c r="D349" s="6">
        <v>33361</v>
      </c>
      <c r="E349">
        <v>25</v>
      </c>
      <c r="F349">
        <v>37500</v>
      </c>
      <c r="G349">
        <v>1</v>
      </c>
      <c r="H349">
        <v>6</v>
      </c>
      <c r="I349">
        <v>1</v>
      </c>
    </row>
    <row r="350" spans="1:9" x14ac:dyDescent="0.3">
      <c r="A350" t="s">
        <v>394</v>
      </c>
      <c r="B350" t="s">
        <v>43</v>
      </c>
      <c r="C350" t="s">
        <v>46</v>
      </c>
      <c r="D350" s="6">
        <v>32109</v>
      </c>
      <c r="E350">
        <v>15</v>
      </c>
      <c r="F350">
        <v>39000</v>
      </c>
      <c r="G350">
        <v>1</v>
      </c>
      <c r="H350">
        <v>9</v>
      </c>
      <c r="I350">
        <v>6</v>
      </c>
    </row>
    <row r="351" spans="1:9" x14ac:dyDescent="0.3">
      <c r="A351" t="s">
        <v>395</v>
      </c>
      <c r="B351" t="s">
        <v>43</v>
      </c>
      <c r="C351" t="s">
        <v>46</v>
      </c>
      <c r="D351" s="6">
        <v>33457</v>
      </c>
      <c r="E351">
        <v>1</v>
      </c>
      <c r="F351">
        <v>25500</v>
      </c>
      <c r="G351">
        <v>1</v>
      </c>
      <c r="H351">
        <v>5</v>
      </c>
      <c r="I351">
        <v>1</v>
      </c>
    </row>
    <row r="352" spans="1:9" x14ac:dyDescent="0.3">
      <c r="A352" t="s">
        <v>396</v>
      </c>
      <c r="B352" t="s">
        <v>43</v>
      </c>
      <c r="C352" t="s">
        <v>46</v>
      </c>
      <c r="D352" s="6">
        <v>35696</v>
      </c>
      <c r="E352">
        <v>1</v>
      </c>
      <c r="F352">
        <v>25500</v>
      </c>
      <c r="G352">
        <v>1</v>
      </c>
      <c r="H352">
        <v>10</v>
      </c>
      <c r="I352">
        <v>1</v>
      </c>
    </row>
    <row r="353" spans="1:9" x14ac:dyDescent="0.3">
      <c r="A353" t="s">
        <v>397</v>
      </c>
      <c r="B353" t="s">
        <v>43</v>
      </c>
      <c r="C353" t="s">
        <v>46</v>
      </c>
      <c r="D353" s="6">
        <v>29659</v>
      </c>
      <c r="E353">
        <v>8</v>
      </c>
      <c r="F353">
        <v>81200</v>
      </c>
      <c r="G353">
        <v>1</v>
      </c>
      <c r="H353">
        <v>5</v>
      </c>
      <c r="I353">
        <v>10</v>
      </c>
    </row>
    <row r="354" spans="1:9" x14ac:dyDescent="0.3">
      <c r="A354" t="s">
        <v>398</v>
      </c>
      <c r="B354" t="s">
        <v>43</v>
      </c>
      <c r="C354" t="s">
        <v>46</v>
      </c>
      <c r="D354" s="6">
        <v>28542</v>
      </c>
      <c r="E354">
        <v>2</v>
      </c>
      <c r="F354">
        <v>26000</v>
      </c>
      <c r="G354">
        <v>1</v>
      </c>
      <c r="H354">
        <v>10</v>
      </c>
      <c r="I354">
        <v>1</v>
      </c>
    </row>
    <row r="355" spans="1:9" x14ac:dyDescent="0.3">
      <c r="A355" t="s">
        <v>399</v>
      </c>
      <c r="B355" t="s">
        <v>43</v>
      </c>
      <c r="C355" t="s">
        <v>44</v>
      </c>
      <c r="D355" s="6">
        <v>35296</v>
      </c>
      <c r="E355">
        <v>2</v>
      </c>
      <c r="F355">
        <v>62400</v>
      </c>
      <c r="G355">
        <v>1</v>
      </c>
      <c r="H355">
        <v>2</v>
      </c>
      <c r="I355">
        <v>8</v>
      </c>
    </row>
    <row r="356" spans="1:9" x14ac:dyDescent="0.3">
      <c r="A356" t="s">
        <v>400</v>
      </c>
      <c r="B356" t="s">
        <v>53</v>
      </c>
      <c r="C356" t="s">
        <v>46</v>
      </c>
      <c r="D356" s="6">
        <v>35615</v>
      </c>
      <c r="E356">
        <v>13</v>
      </c>
      <c r="F356">
        <v>40320</v>
      </c>
      <c r="G356">
        <v>1</v>
      </c>
      <c r="H356">
        <v>7</v>
      </c>
      <c r="I356">
        <v>2</v>
      </c>
    </row>
    <row r="357" spans="1:9" x14ac:dyDescent="0.3">
      <c r="A357" t="s">
        <v>401</v>
      </c>
      <c r="B357" t="s">
        <v>43</v>
      </c>
      <c r="C357" t="s">
        <v>44</v>
      </c>
      <c r="D357" s="6">
        <v>32101</v>
      </c>
      <c r="E357">
        <v>31</v>
      </c>
      <c r="F357">
        <v>40500</v>
      </c>
      <c r="G357">
        <v>1</v>
      </c>
      <c r="H357">
        <v>10</v>
      </c>
      <c r="I357">
        <v>1</v>
      </c>
    </row>
    <row r="358" spans="1:9" x14ac:dyDescent="0.3">
      <c r="A358" t="s">
        <v>402</v>
      </c>
      <c r="B358" t="s">
        <v>53</v>
      </c>
      <c r="C358" t="s">
        <v>44</v>
      </c>
      <c r="D358" s="6">
        <v>32701</v>
      </c>
      <c r="E358">
        <v>1</v>
      </c>
      <c r="F358">
        <v>32640</v>
      </c>
      <c r="G358">
        <v>1</v>
      </c>
      <c r="H358">
        <v>2</v>
      </c>
      <c r="I358">
        <v>2</v>
      </c>
    </row>
    <row r="359" spans="1:9" x14ac:dyDescent="0.3">
      <c r="A359" t="s">
        <v>403</v>
      </c>
      <c r="B359" t="s">
        <v>43</v>
      </c>
      <c r="C359" t="s">
        <v>44</v>
      </c>
      <c r="D359" s="6">
        <v>34410</v>
      </c>
      <c r="E359">
        <v>4</v>
      </c>
      <c r="F359">
        <v>32400</v>
      </c>
      <c r="G359">
        <v>1</v>
      </c>
      <c r="H359">
        <v>1</v>
      </c>
      <c r="I359">
        <v>6</v>
      </c>
    </row>
    <row r="360" spans="1:9" x14ac:dyDescent="0.3">
      <c r="A360" t="s">
        <v>404</v>
      </c>
      <c r="B360" t="s">
        <v>43</v>
      </c>
      <c r="C360" t="s">
        <v>44</v>
      </c>
      <c r="D360" s="6">
        <v>33486</v>
      </c>
      <c r="E360">
        <v>27</v>
      </c>
      <c r="F360">
        <v>46200</v>
      </c>
      <c r="G360">
        <v>1</v>
      </c>
      <c r="H360">
        <v>9</v>
      </c>
      <c r="I360">
        <v>6</v>
      </c>
    </row>
    <row r="361" spans="1:9" x14ac:dyDescent="0.3">
      <c r="A361" t="s">
        <v>405</v>
      </c>
      <c r="B361" t="s">
        <v>53</v>
      </c>
      <c r="C361" t="s">
        <v>46</v>
      </c>
      <c r="D361" s="6">
        <v>28005</v>
      </c>
      <c r="E361">
        <v>1</v>
      </c>
      <c r="F361">
        <v>32640</v>
      </c>
      <c r="G361">
        <v>1</v>
      </c>
      <c r="H361">
        <v>8</v>
      </c>
      <c r="I361">
        <v>2</v>
      </c>
    </row>
    <row r="362" spans="1:9" x14ac:dyDescent="0.3">
      <c r="A362" t="s">
        <v>406</v>
      </c>
      <c r="B362" t="s">
        <v>53</v>
      </c>
      <c r="C362" t="s">
        <v>46</v>
      </c>
      <c r="D362" s="6">
        <v>36549</v>
      </c>
      <c r="E362">
        <v>16</v>
      </c>
      <c r="F362">
        <v>35640</v>
      </c>
      <c r="G362">
        <v>1</v>
      </c>
      <c r="H362">
        <v>7</v>
      </c>
      <c r="I362">
        <v>5</v>
      </c>
    </row>
    <row r="363" spans="1:9" x14ac:dyDescent="0.3">
      <c r="A363" t="s">
        <v>407</v>
      </c>
      <c r="B363" t="s">
        <v>53</v>
      </c>
      <c r="C363" t="s">
        <v>44</v>
      </c>
      <c r="D363" s="6">
        <v>28102</v>
      </c>
      <c r="E363">
        <v>1</v>
      </c>
      <c r="F363">
        <v>51000</v>
      </c>
      <c r="G363">
        <v>1</v>
      </c>
      <c r="H363">
        <v>4</v>
      </c>
      <c r="I363">
        <v>15</v>
      </c>
    </row>
    <row r="364" spans="1:9" x14ac:dyDescent="0.3">
      <c r="A364" t="s">
        <v>408</v>
      </c>
      <c r="B364" t="s">
        <v>43</v>
      </c>
      <c r="C364" t="s">
        <v>46</v>
      </c>
      <c r="D364" s="6">
        <v>37199</v>
      </c>
      <c r="E364">
        <v>24</v>
      </c>
      <c r="F364">
        <v>39960</v>
      </c>
      <c r="G364">
        <v>1</v>
      </c>
      <c r="H364">
        <v>5</v>
      </c>
      <c r="I364">
        <v>5</v>
      </c>
    </row>
    <row r="365" spans="1:9" x14ac:dyDescent="0.3">
      <c r="A365" t="s">
        <v>409</v>
      </c>
      <c r="B365" t="s">
        <v>53</v>
      </c>
      <c r="C365" t="s">
        <v>46</v>
      </c>
      <c r="D365" s="6">
        <v>37396</v>
      </c>
      <c r="E365">
        <v>34</v>
      </c>
      <c r="F365">
        <v>47040</v>
      </c>
      <c r="G365">
        <v>1</v>
      </c>
      <c r="H365">
        <v>10</v>
      </c>
      <c r="I365">
        <v>7</v>
      </c>
    </row>
    <row r="366" spans="1:9" x14ac:dyDescent="0.3">
      <c r="A366" t="s">
        <v>410</v>
      </c>
      <c r="B366" t="s">
        <v>53</v>
      </c>
      <c r="C366" t="s">
        <v>44</v>
      </c>
      <c r="D366" s="6">
        <v>29064</v>
      </c>
      <c r="E366">
        <v>1</v>
      </c>
      <c r="F366">
        <v>71400</v>
      </c>
      <c r="G366">
        <v>1</v>
      </c>
      <c r="H366">
        <v>5</v>
      </c>
      <c r="I366">
        <v>10</v>
      </c>
    </row>
    <row r="367" spans="1:9" x14ac:dyDescent="0.3">
      <c r="A367" t="s">
        <v>411</v>
      </c>
      <c r="B367" t="s">
        <v>53</v>
      </c>
      <c r="C367" t="s">
        <v>44</v>
      </c>
      <c r="D367" s="6">
        <v>30693</v>
      </c>
      <c r="E367">
        <v>1</v>
      </c>
      <c r="F367">
        <v>40800</v>
      </c>
      <c r="G367">
        <v>1</v>
      </c>
      <c r="H367">
        <v>10</v>
      </c>
      <c r="I367">
        <v>4</v>
      </c>
    </row>
    <row r="368" spans="1:9" x14ac:dyDescent="0.3">
      <c r="A368" t="s">
        <v>412</v>
      </c>
      <c r="B368" t="s">
        <v>53</v>
      </c>
      <c r="C368" t="s">
        <v>44</v>
      </c>
      <c r="D368" s="6">
        <v>31843</v>
      </c>
      <c r="E368">
        <v>14</v>
      </c>
      <c r="F368">
        <v>35840</v>
      </c>
      <c r="G368">
        <v>1</v>
      </c>
      <c r="H368">
        <v>4</v>
      </c>
      <c r="I368">
        <v>7</v>
      </c>
    </row>
    <row r="369" spans="1:9" x14ac:dyDescent="0.3">
      <c r="A369" t="s">
        <v>413</v>
      </c>
      <c r="B369" t="s">
        <v>53</v>
      </c>
      <c r="C369" t="s">
        <v>44</v>
      </c>
      <c r="D369" s="6">
        <v>30829</v>
      </c>
      <c r="E369">
        <v>2</v>
      </c>
      <c r="F369">
        <v>62400</v>
      </c>
      <c r="G369">
        <v>1</v>
      </c>
      <c r="H369">
        <v>6</v>
      </c>
      <c r="I369">
        <v>8</v>
      </c>
    </row>
    <row r="370" spans="1:9" x14ac:dyDescent="0.3">
      <c r="A370" t="s">
        <v>414</v>
      </c>
      <c r="B370" t="s">
        <v>43</v>
      </c>
      <c r="C370" t="s">
        <v>46</v>
      </c>
      <c r="D370" s="6">
        <v>32159</v>
      </c>
      <c r="E370">
        <v>1</v>
      </c>
      <c r="F370">
        <v>30600</v>
      </c>
      <c r="G370">
        <v>1</v>
      </c>
      <c r="H370">
        <v>7</v>
      </c>
      <c r="I370">
        <v>6</v>
      </c>
    </row>
    <row r="371" spans="1:9" x14ac:dyDescent="0.3">
      <c r="A371" t="s">
        <v>415</v>
      </c>
      <c r="B371" t="s">
        <v>53</v>
      </c>
      <c r="C371" t="s">
        <v>46</v>
      </c>
      <c r="D371" s="6">
        <v>31656</v>
      </c>
      <c r="E371">
        <v>1</v>
      </c>
      <c r="F371">
        <v>40800</v>
      </c>
      <c r="G371">
        <v>1</v>
      </c>
      <c r="H371">
        <v>6</v>
      </c>
      <c r="I371">
        <v>4</v>
      </c>
    </row>
    <row r="372" spans="1:9" x14ac:dyDescent="0.3">
      <c r="A372" t="s">
        <v>416</v>
      </c>
      <c r="B372" t="s">
        <v>43</v>
      </c>
      <c r="C372" t="s">
        <v>44</v>
      </c>
      <c r="D372" s="6">
        <v>32711</v>
      </c>
      <c r="E372">
        <v>1</v>
      </c>
      <c r="F372">
        <v>61200</v>
      </c>
      <c r="G372">
        <v>1</v>
      </c>
      <c r="H372">
        <v>2</v>
      </c>
      <c r="I372">
        <v>8</v>
      </c>
    </row>
    <row r="373" spans="1:9" x14ac:dyDescent="0.3">
      <c r="A373" t="s">
        <v>417</v>
      </c>
      <c r="B373" t="s">
        <v>53</v>
      </c>
      <c r="C373" t="s">
        <v>44</v>
      </c>
      <c r="D373" s="6">
        <v>25026</v>
      </c>
      <c r="E373">
        <v>1</v>
      </c>
      <c r="F373">
        <v>66300</v>
      </c>
      <c r="G373">
        <v>1</v>
      </c>
      <c r="H373">
        <v>1</v>
      </c>
      <c r="I373">
        <v>9</v>
      </c>
    </row>
    <row r="374" spans="1:9" x14ac:dyDescent="0.3">
      <c r="A374" t="s">
        <v>418</v>
      </c>
      <c r="B374" t="s">
        <v>43</v>
      </c>
      <c r="C374" t="s">
        <v>44</v>
      </c>
      <c r="D374" s="6">
        <v>33457</v>
      </c>
      <c r="E374">
        <v>1</v>
      </c>
      <c r="F374">
        <v>32640</v>
      </c>
      <c r="G374">
        <v>1</v>
      </c>
      <c r="H374">
        <v>4</v>
      </c>
      <c r="I374">
        <v>2</v>
      </c>
    </row>
    <row r="375" spans="1:9" x14ac:dyDescent="0.3">
      <c r="A375" t="s">
        <v>419</v>
      </c>
      <c r="B375" t="s">
        <v>53</v>
      </c>
      <c r="C375" t="s">
        <v>46</v>
      </c>
      <c r="D375" s="6">
        <v>27213</v>
      </c>
      <c r="E375">
        <v>23</v>
      </c>
      <c r="F375">
        <v>36500</v>
      </c>
      <c r="G375">
        <v>1</v>
      </c>
      <c r="H375">
        <v>5</v>
      </c>
      <c r="I375">
        <v>1</v>
      </c>
    </row>
    <row r="376" spans="1:9" x14ac:dyDescent="0.3">
      <c r="A376" t="s">
        <v>420</v>
      </c>
      <c r="B376" t="s">
        <v>43</v>
      </c>
      <c r="C376" t="s">
        <v>46</v>
      </c>
      <c r="D376" s="6">
        <v>27063</v>
      </c>
      <c r="E376">
        <v>1</v>
      </c>
      <c r="F376">
        <v>30600</v>
      </c>
      <c r="G376">
        <v>1</v>
      </c>
      <c r="H376">
        <v>7</v>
      </c>
      <c r="I376">
        <v>6</v>
      </c>
    </row>
    <row r="377" spans="1:9" x14ac:dyDescent="0.3">
      <c r="A377" t="s">
        <v>421</v>
      </c>
      <c r="B377" t="s">
        <v>43</v>
      </c>
      <c r="C377" t="s">
        <v>44</v>
      </c>
      <c r="D377" s="6">
        <v>32044</v>
      </c>
      <c r="E377">
        <v>1</v>
      </c>
      <c r="F377">
        <v>27540</v>
      </c>
      <c r="G377">
        <v>1</v>
      </c>
      <c r="H377">
        <v>5</v>
      </c>
      <c r="I377">
        <v>5</v>
      </c>
    </row>
    <row r="378" spans="1:9" x14ac:dyDescent="0.3">
      <c r="A378" t="s">
        <v>422</v>
      </c>
      <c r="B378" t="s">
        <v>43</v>
      </c>
      <c r="C378" t="s">
        <v>44</v>
      </c>
      <c r="D378" s="6">
        <v>24453</v>
      </c>
      <c r="E378">
        <v>12</v>
      </c>
      <c r="F378">
        <v>80600</v>
      </c>
      <c r="G378">
        <v>1</v>
      </c>
      <c r="H378">
        <v>3</v>
      </c>
      <c r="I378">
        <v>9</v>
      </c>
    </row>
    <row r="379" spans="1:9" x14ac:dyDescent="0.3">
      <c r="A379" t="s">
        <v>423</v>
      </c>
      <c r="B379" t="s">
        <v>53</v>
      </c>
      <c r="C379" t="s">
        <v>44</v>
      </c>
      <c r="D379" s="6">
        <v>23379</v>
      </c>
      <c r="E379">
        <v>1</v>
      </c>
      <c r="F379">
        <v>25500</v>
      </c>
      <c r="G379">
        <v>1</v>
      </c>
      <c r="H379">
        <v>2</v>
      </c>
      <c r="I379">
        <v>1</v>
      </c>
    </row>
    <row r="380" spans="1:9" x14ac:dyDescent="0.3">
      <c r="A380" t="s">
        <v>424</v>
      </c>
      <c r="B380" t="s">
        <v>53</v>
      </c>
      <c r="C380" t="s">
        <v>46</v>
      </c>
      <c r="D380" s="6">
        <v>37753</v>
      </c>
      <c r="E380">
        <v>1</v>
      </c>
      <c r="F380">
        <v>25500</v>
      </c>
      <c r="G380">
        <v>1</v>
      </c>
      <c r="H380">
        <v>2</v>
      </c>
      <c r="I380">
        <v>1</v>
      </c>
    </row>
    <row r="381" spans="1:9" x14ac:dyDescent="0.3">
      <c r="A381" t="s">
        <v>425</v>
      </c>
      <c r="B381" t="s">
        <v>53</v>
      </c>
      <c r="C381" t="s">
        <v>46</v>
      </c>
      <c r="D381" s="6">
        <v>26358</v>
      </c>
      <c r="E381">
        <v>1</v>
      </c>
      <c r="F381">
        <v>26520</v>
      </c>
      <c r="G381">
        <v>1</v>
      </c>
      <c r="H381">
        <v>2</v>
      </c>
      <c r="I381">
        <v>3</v>
      </c>
    </row>
    <row r="382" spans="1:9" x14ac:dyDescent="0.3">
      <c r="A382" t="s">
        <v>426</v>
      </c>
      <c r="B382" t="s">
        <v>43</v>
      </c>
      <c r="C382" t="s">
        <v>44</v>
      </c>
      <c r="D382" s="6">
        <v>31008</v>
      </c>
      <c r="E382">
        <v>1</v>
      </c>
      <c r="F382">
        <v>32640</v>
      </c>
      <c r="G382">
        <v>1</v>
      </c>
      <c r="H382">
        <v>10</v>
      </c>
      <c r="I382">
        <v>2</v>
      </c>
    </row>
    <row r="383" spans="1:9" x14ac:dyDescent="0.3">
      <c r="A383" t="s">
        <v>427</v>
      </c>
      <c r="B383" t="s">
        <v>53</v>
      </c>
      <c r="C383" t="s">
        <v>46</v>
      </c>
      <c r="D383" s="6">
        <v>31289</v>
      </c>
      <c r="E383">
        <v>13</v>
      </c>
      <c r="F383">
        <v>40320</v>
      </c>
      <c r="G383">
        <v>1</v>
      </c>
      <c r="H383">
        <v>8</v>
      </c>
      <c r="I383">
        <v>2</v>
      </c>
    </row>
    <row r="384" spans="1:9" x14ac:dyDescent="0.3">
      <c r="A384" t="s">
        <v>428</v>
      </c>
      <c r="B384" t="s">
        <v>43</v>
      </c>
      <c r="C384" t="s">
        <v>44</v>
      </c>
      <c r="D384" s="6">
        <v>31493</v>
      </c>
      <c r="E384">
        <v>1</v>
      </c>
      <c r="F384">
        <v>26520</v>
      </c>
      <c r="G384">
        <v>1</v>
      </c>
      <c r="H384">
        <v>4</v>
      </c>
      <c r="I384">
        <v>3</v>
      </c>
    </row>
    <row r="385" spans="1:9" x14ac:dyDescent="0.3">
      <c r="A385" t="s">
        <v>429</v>
      </c>
      <c r="B385" t="s">
        <v>43</v>
      </c>
      <c r="C385" t="s">
        <v>46</v>
      </c>
      <c r="D385" s="6">
        <v>33206</v>
      </c>
      <c r="E385">
        <v>1</v>
      </c>
      <c r="F385">
        <v>61200</v>
      </c>
      <c r="G385">
        <v>1</v>
      </c>
      <c r="H385">
        <v>8</v>
      </c>
      <c r="I385">
        <v>8</v>
      </c>
    </row>
    <row r="386" spans="1:9" x14ac:dyDescent="0.3">
      <c r="A386" t="s">
        <v>430</v>
      </c>
      <c r="B386" t="s">
        <v>53</v>
      </c>
      <c r="C386" t="s">
        <v>44</v>
      </c>
      <c r="D386" s="6">
        <v>31803</v>
      </c>
      <c r="E386">
        <v>1</v>
      </c>
      <c r="F386">
        <v>26520</v>
      </c>
      <c r="G386">
        <v>1</v>
      </c>
      <c r="H386">
        <v>9</v>
      </c>
      <c r="I386">
        <v>3</v>
      </c>
    </row>
    <row r="387" spans="1:9" x14ac:dyDescent="0.3">
      <c r="A387" t="s">
        <v>431</v>
      </c>
      <c r="B387" t="s">
        <v>53</v>
      </c>
      <c r="C387" t="s">
        <v>46</v>
      </c>
      <c r="D387" s="6">
        <v>24423</v>
      </c>
      <c r="E387">
        <v>1</v>
      </c>
      <c r="F387">
        <v>32640</v>
      </c>
      <c r="G387">
        <v>1</v>
      </c>
      <c r="H387">
        <v>5</v>
      </c>
      <c r="I387">
        <v>2</v>
      </c>
    </row>
    <row r="388" spans="1:9" x14ac:dyDescent="0.3">
      <c r="A388" t="s">
        <v>432</v>
      </c>
      <c r="B388" t="s">
        <v>43</v>
      </c>
      <c r="C388" t="s">
        <v>44</v>
      </c>
      <c r="D388" s="6">
        <v>37769</v>
      </c>
      <c r="E388">
        <v>18</v>
      </c>
      <c r="F388">
        <v>43520</v>
      </c>
      <c r="G388">
        <v>1</v>
      </c>
      <c r="H388">
        <v>3</v>
      </c>
      <c r="I388">
        <v>2</v>
      </c>
    </row>
    <row r="389" spans="1:9" x14ac:dyDescent="0.3">
      <c r="A389" t="s">
        <v>433</v>
      </c>
      <c r="B389" t="s">
        <v>53</v>
      </c>
      <c r="C389" t="s">
        <v>44</v>
      </c>
      <c r="D389" s="6">
        <v>31837</v>
      </c>
      <c r="E389">
        <v>20</v>
      </c>
      <c r="F389">
        <v>56000</v>
      </c>
      <c r="G389">
        <v>1</v>
      </c>
      <c r="H389">
        <v>5</v>
      </c>
      <c r="I389">
        <v>4</v>
      </c>
    </row>
    <row r="390" spans="1:9" x14ac:dyDescent="0.3">
      <c r="A390" t="s">
        <v>434</v>
      </c>
      <c r="B390" t="s">
        <v>43</v>
      </c>
      <c r="C390" t="s">
        <v>46</v>
      </c>
      <c r="D390" s="6">
        <v>31335</v>
      </c>
      <c r="E390">
        <v>3</v>
      </c>
      <c r="F390">
        <v>28620</v>
      </c>
      <c r="G390">
        <v>1</v>
      </c>
      <c r="H390">
        <v>11</v>
      </c>
      <c r="I390">
        <v>5</v>
      </c>
    </row>
    <row r="391" spans="1:9" x14ac:dyDescent="0.3">
      <c r="A391" t="s">
        <v>435</v>
      </c>
      <c r="B391" t="s">
        <v>53</v>
      </c>
      <c r="C391" t="s">
        <v>44</v>
      </c>
      <c r="D391" s="6">
        <v>36014</v>
      </c>
      <c r="E391">
        <v>9</v>
      </c>
      <c r="F391">
        <v>70800</v>
      </c>
      <c r="G391">
        <v>1</v>
      </c>
      <c r="H391">
        <v>2</v>
      </c>
      <c r="I391">
        <v>8</v>
      </c>
    </row>
    <row r="392" spans="1:9" x14ac:dyDescent="0.3">
      <c r="A392" t="s">
        <v>436</v>
      </c>
      <c r="B392" t="s">
        <v>53</v>
      </c>
      <c r="C392" t="s">
        <v>44</v>
      </c>
      <c r="D392" s="6">
        <v>31635</v>
      </c>
      <c r="E392">
        <v>19</v>
      </c>
      <c r="F392">
        <v>44160</v>
      </c>
      <c r="G392">
        <v>1</v>
      </c>
      <c r="H392">
        <v>4</v>
      </c>
      <c r="I392">
        <v>2</v>
      </c>
    </row>
    <row r="393" spans="1:9" x14ac:dyDescent="0.3">
      <c r="A393" t="s">
        <v>437</v>
      </c>
      <c r="B393" t="s">
        <v>53</v>
      </c>
      <c r="C393" t="s">
        <v>46</v>
      </c>
      <c r="D393" s="6">
        <v>37209</v>
      </c>
      <c r="E393">
        <v>9</v>
      </c>
      <c r="F393">
        <v>76700</v>
      </c>
      <c r="G393">
        <v>1</v>
      </c>
      <c r="H393">
        <v>8</v>
      </c>
      <c r="I393">
        <v>9</v>
      </c>
    </row>
    <row r="394" spans="1:9" x14ac:dyDescent="0.3">
      <c r="A394" t="s">
        <v>438</v>
      </c>
      <c r="B394" t="s">
        <v>43</v>
      </c>
      <c r="C394" t="s">
        <v>46</v>
      </c>
      <c r="D394" s="6">
        <v>30598</v>
      </c>
      <c r="E394">
        <v>16</v>
      </c>
      <c r="F394">
        <v>39600</v>
      </c>
      <c r="G394">
        <v>1</v>
      </c>
      <c r="H394">
        <v>7</v>
      </c>
      <c r="I394">
        <v>6</v>
      </c>
    </row>
    <row r="395" spans="1:9" x14ac:dyDescent="0.3">
      <c r="A395" t="s">
        <v>439</v>
      </c>
      <c r="B395" t="s">
        <v>43</v>
      </c>
      <c r="C395" t="s">
        <v>46</v>
      </c>
      <c r="D395" s="6">
        <v>34561</v>
      </c>
      <c r="E395">
        <v>16</v>
      </c>
      <c r="F395">
        <v>36960</v>
      </c>
      <c r="G395">
        <v>1</v>
      </c>
      <c r="H395">
        <v>7</v>
      </c>
      <c r="I395">
        <v>7</v>
      </c>
    </row>
    <row r="396" spans="1:9" x14ac:dyDescent="0.3">
      <c r="A396" t="s">
        <v>440</v>
      </c>
      <c r="B396" t="s">
        <v>53</v>
      </c>
      <c r="C396" t="s">
        <v>46</v>
      </c>
      <c r="D396" s="6">
        <v>31233</v>
      </c>
      <c r="E396">
        <v>4</v>
      </c>
      <c r="F396">
        <v>32400</v>
      </c>
      <c r="G396">
        <v>1</v>
      </c>
      <c r="H396">
        <v>7</v>
      </c>
      <c r="I396">
        <v>6</v>
      </c>
    </row>
    <row r="397" spans="1:9" x14ac:dyDescent="0.3">
      <c r="A397" t="s">
        <v>441</v>
      </c>
      <c r="B397" t="s">
        <v>43</v>
      </c>
      <c r="C397" t="s">
        <v>44</v>
      </c>
      <c r="D397" s="6">
        <v>27191</v>
      </c>
      <c r="E397">
        <v>13</v>
      </c>
      <c r="F397">
        <v>37800</v>
      </c>
      <c r="G397">
        <v>1</v>
      </c>
      <c r="H397">
        <v>7</v>
      </c>
      <c r="I397">
        <v>6</v>
      </c>
    </row>
    <row r="398" spans="1:9" x14ac:dyDescent="0.3">
      <c r="A398" t="s">
        <v>442</v>
      </c>
      <c r="B398" t="s">
        <v>43</v>
      </c>
      <c r="C398" t="s">
        <v>44</v>
      </c>
      <c r="D398" s="6">
        <v>34745</v>
      </c>
      <c r="E398">
        <v>1</v>
      </c>
      <c r="F398">
        <v>25500</v>
      </c>
      <c r="G398">
        <v>1</v>
      </c>
      <c r="H398">
        <v>5</v>
      </c>
      <c r="I398">
        <v>1</v>
      </c>
    </row>
    <row r="399" spans="1:9" x14ac:dyDescent="0.3">
      <c r="A399" t="s">
        <v>443</v>
      </c>
      <c r="B399" t="s">
        <v>43</v>
      </c>
      <c r="C399" t="s">
        <v>44</v>
      </c>
      <c r="D399" s="6">
        <v>24764</v>
      </c>
      <c r="E399">
        <v>1</v>
      </c>
      <c r="F399">
        <v>27540</v>
      </c>
      <c r="G399">
        <v>1</v>
      </c>
      <c r="H399">
        <v>1</v>
      </c>
      <c r="I399">
        <v>5</v>
      </c>
    </row>
    <row r="400" spans="1:9" x14ac:dyDescent="0.3">
      <c r="A400" t="s">
        <v>444</v>
      </c>
      <c r="B400" t="s">
        <v>53</v>
      </c>
      <c r="C400" t="s">
        <v>44</v>
      </c>
      <c r="D400" s="6">
        <v>25395</v>
      </c>
      <c r="E400">
        <v>1</v>
      </c>
      <c r="F400">
        <v>28560</v>
      </c>
      <c r="G400">
        <v>1</v>
      </c>
      <c r="H400">
        <v>2</v>
      </c>
      <c r="I400">
        <v>7</v>
      </c>
    </row>
    <row r="401" spans="1:9" x14ac:dyDescent="0.3">
      <c r="A401" t="s">
        <v>445</v>
      </c>
      <c r="B401" t="s">
        <v>43</v>
      </c>
      <c r="C401" t="s">
        <v>44</v>
      </c>
      <c r="D401" s="6">
        <v>26296</v>
      </c>
      <c r="E401">
        <v>34</v>
      </c>
      <c r="F401">
        <v>43680</v>
      </c>
      <c r="G401">
        <v>1</v>
      </c>
      <c r="H401">
        <v>8</v>
      </c>
      <c r="I401">
        <v>3</v>
      </c>
    </row>
    <row r="402" spans="1:9" x14ac:dyDescent="0.3">
      <c r="A402" t="s">
        <v>446</v>
      </c>
      <c r="B402" t="s">
        <v>53</v>
      </c>
      <c r="C402" t="s">
        <v>44</v>
      </c>
      <c r="D402" s="6">
        <v>36164</v>
      </c>
      <c r="E402">
        <v>1</v>
      </c>
      <c r="F402">
        <v>27540</v>
      </c>
      <c r="G402">
        <v>1</v>
      </c>
      <c r="H402">
        <v>11</v>
      </c>
      <c r="I402">
        <v>5</v>
      </c>
    </row>
    <row r="403" spans="1:9" x14ac:dyDescent="0.3">
      <c r="A403" t="s">
        <v>447</v>
      </c>
      <c r="B403" t="s">
        <v>43</v>
      </c>
      <c r="C403" t="s">
        <v>44</v>
      </c>
      <c r="D403" s="6">
        <v>29757</v>
      </c>
      <c r="E403">
        <v>1</v>
      </c>
      <c r="F403">
        <v>25500</v>
      </c>
      <c r="G403">
        <v>1</v>
      </c>
      <c r="H403">
        <v>3</v>
      </c>
      <c r="I403">
        <v>1</v>
      </c>
    </row>
    <row r="404" spans="1:9" x14ac:dyDescent="0.3">
      <c r="A404" t="s">
        <v>448</v>
      </c>
      <c r="B404" t="s">
        <v>43</v>
      </c>
      <c r="C404" t="s">
        <v>44</v>
      </c>
      <c r="D404" s="6">
        <v>30165</v>
      </c>
      <c r="E404">
        <v>13</v>
      </c>
      <c r="F404">
        <v>32760</v>
      </c>
      <c r="G404">
        <v>1</v>
      </c>
      <c r="H404">
        <v>4</v>
      </c>
      <c r="I404">
        <v>3</v>
      </c>
    </row>
    <row r="405" spans="1:9" x14ac:dyDescent="0.3">
      <c r="A405" t="s">
        <v>449</v>
      </c>
      <c r="B405" t="s">
        <v>43</v>
      </c>
      <c r="C405" t="s">
        <v>46</v>
      </c>
      <c r="D405" s="6">
        <v>28717</v>
      </c>
      <c r="E405">
        <v>27</v>
      </c>
      <c r="F405">
        <v>61600</v>
      </c>
      <c r="G405">
        <v>1</v>
      </c>
      <c r="H405">
        <v>11</v>
      </c>
      <c r="I405">
        <v>4</v>
      </c>
    </row>
    <row r="406" spans="1:9" x14ac:dyDescent="0.3">
      <c r="A406" t="s">
        <v>450</v>
      </c>
      <c r="B406" t="s">
        <v>43</v>
      </c>
      <c r="C406" t="s">
        <v>46</v>
      </c>
      <c r="D406" s="6">
        <v>33359</v>
      </c>
      <c r="E406">
        <v>11</v>
      </c>
      <c r="F406">
        <v>30500</v>
      </c>
      <c r="G406">
        <v>1</v>
      </c>
      <c r="H406">
        <v>7</v>
      </c>
      <c r="I406">
        <v>1</v>
      </c>
    </row>
    <row r="407" spans="1:9" x14ac:dyDescent="0.3">
      <c r="A407" t="s">
        <v>451</v>
      </c>
      <c r="B407" t="s">
        <v>53</v>
      </c>
      <c r="C407" t="s">
        <v>44</v>
      </c>
      <c r="D407" s="6">
        <v>28014</v>
      </c>
      <c r="E407">
        <v>6</v>
      </c>
      <c r="F407">
        <v>44800</v>
      </c>
      <c r="G407">
        <v>1</v>
      </c>
      <c r="H407">
        <v>10</v>
      </c>
      <c r="I407">
        <v>4</v>
      </c>
    </row>
    <row r="408" spans="1:9" x14ac:dyDescent="0.3">
      <c r="A408" t="s">
        <v>452</v>
      </c>
      <c r="B408" t="s">
        <v>53</v>
      </c>
      <c r="C408" t="s">
        <v>46</v>
      </c>
      <c r="D408" s="6">
        <v>23994</v>
      </c>
      <c r="E408">
        <v>1</v>
      </c>
      <c r="F408">
        <v>32640</v>
      </c>
      <c r="G408">
        <v>1</v>
      </c>
      <c r="H408">
        <v>7</v>
      </c>
      <c r="I408">
        <v>2</v>
      </c>
    </row>
    <row r="409" spans="1:9" x14ac:dyDescent="0.3">
      <c r="A409" t="s">
        <v>453</v>
      </c>
      <c r="B409" t="s">
        <v>53</v>
      </c>
      <c r="C409" t="s">
        <v>46</v>
      </c>
      <c r="D409" s="6">
        <v>31334</v>
      </c>
      <c r="E409">
        <v>1</v>
      </c>
      <c r="F409">
        <v>25500</v>
      </c>
      <c r="G409">
        <v>1</v>
      </c>
      <c r="H409">
        <v>8</v>
      </c>
      <c r="I409">
        <v>1</v>
      </c>
    </row>
    <row r="410" spans="1:9" x14ac:dyDescent="0.3">
      <c r="A410" t="s">
        <v>454</v>
      </c>
      <c r="B410" t="s">
        <v>43</v>
      </c>
      <c r="C410" t="s">
        <v>44</v>
      </c>
      <c r="D410" s="6">
        <v>32492</v>
      </c>
      <c r="E410">
        <v>1</v>
      </c>
      <c r="F410">
        <v>26520</v>
      </c>
      <c r="G410">
        <v>1</v>
      </c>
      <c r="H410">
        <v>6</v>
      </c>
      <c r="I410">
        <v>3</v>
      </c>
    </row>
    <row r="411" spans="1:9" x14ac:dyDescent="0.3">
      <c r="A411" t="s">
        <v>455</v>
      </c>
      <c r="B411" t="s">
        <v>53</v>
      </c>
      <c r="C411" t="s">
        <v>46</v>
      </c>
      <c r="D411" s="6">
        <v>37857</v>
      </c>
      <c r="E411">
        <v>1</v>
      </c>
      <c r="F411">
        <v>51000</v>
      </c>
      <c r="G411">
        <v>1</v>
      </c>
      <c r="H411">
        <v>9</v>
      </c>
      <c r="I411">
        <v>15</v>
      </c>
    </row>
    <row r="412" spans="1:9" x14ac:dyDescent="0.3">
      <c r="A412" t="s">
        <v>456</v>
      </c>
      <c r="B412" t="s">
        <v>53</v>
      </c>
      <c r="C412" t="s">
        <v>46</v>
      </c>
      <c r="D412" s="6">
        <v>35757</v>
      </c>
      <c r="E412">
        <v>1</v>
      </c>
      <c r="F412">
        <v>25500</v>
      </c>
      <c r="G412">
        <v>1</v>
      </c>
      <c r="H412">
        <v>10</v>
      </c>
      <c r="I412">
        <v>1</v>
      </c>
    </row>
    <row r="413" spans="1:9" x14ac:dyDescent="0.3">
      <c r="A413" t="s">
        <v>457</v>
      </c>
      <c r="B413" t="s">
        <v>43</v>
      </c>
      <c r="C413" t="s">
        <v>46</v>
      </c>
      <c r="D413" s="6">
        <v>33862</v>
      </c>
      <c r="E413">
        <v>1</v>
      </c>
      <c r="F413">
        <v>26520</v>
      </c>
      <c r="G413">
        <v>1</v>
      </c>
      <c r="H413">
        <v>6</v>
      </c>
      <c r="I413">
        <v>3</v>
      </c>
    </row>
    <row r="414" spans="1:9" x14ac:dyDescent="0.3">
      <c r="A414" t="s">
        <v>458</v>
      </c>
      <c r="B414" t="s">
        <v>43</v>
      </c>
      <c r="C414" t="s">
        <v>46</v>
      </c>
      <c r="D414" s="6">
        <v>36734</v>
      </c>
      <c r="E414">
        <v>1</v>
      </c>
      <c r="F414">
        <v>66300</v>
      </c>
      <c r="G414">
        <v>1</v>
      </c>
      <c r="H414">
        <v>4</v>
      </c>
      <c r="I414">
        <v>9</v>
      </c>
    </row>
    <row r="415" spans="1:9" x14ac:dyDescent="0.3">
      <c r="A415" t="s">
        <v>459</v>
      </c>
      <c r="B415" t="s">
        <v>43</v>
      </c>
      <c r="C415" t="s">
        <v>44</v>
      </c>
      <c r="D415" s="6">
        <v>34749</v>
      </c>
      <c r="E415">
        <v>1</v>
      </c>
      <c r="F415">
        <v>51000</v>
      </c>
      <c r="G415">
        <v>1</v>
      </c>
      <c r="H415">
        <v>7</v>
      </c>
      <c r="I415">
        <v>15</v>
      </c>
    </row>
    <row r="416" spans="1:9" x14ac:dyDescent="0.3">
      <c r="A416" t="s">
        <v>460</v>
      </c>
      <c r="B416" t="s">
        <v>43</v>
      </c>
      <c r="C416" t="s">
        <v>46</v>
      </c>
      <c r="D416" s="6">
        <v>35393</v>
      </c>
      <c r="E416">
        <v>1</v>
      </c>
      <c r="F416">
        <v>40800</v>
      </c>
      <c r="G416">
        <v>1</v>
      </c>
      <c r="H416">
        <v>9</v>
      </c>
      <c r="I416">
        <v>4</v>
      </c>
    </row>
    <row r="417" spans="1:9" x14ac:dyDescent="0.3">
      <c r="A417" t="s">
        <v>461</v>
      </c>
      <c r="B417" t="s">
        <v>53</v>
      </c>
      <c r="C417" t="s">
        <v>46</v>
      </c>
      <c r="D417" s="6">
        <v>24780</v>
      </c>
      <c r="E417">
        <v>1</v>
      </c>
      <c r="F417">
        <v>25500</v>
      </c>
      <c r="G417">
        <v>1</v>
      </c>
      <c r="H417">
        <v>8</v>
      </c>
      <c r="I417">
        <v>1</v>
      </c>
    </row>
    <row r="418" spans="1:9" x14ac:dyDescent="0.3">
      <c r="A418" t="s">
        <v>462</v>
      </c>
      <c r="B418" t="s">
        <v>43</v>
      </c>
      <c r="C418" t="s">
        <v>46</v>
      </c>
      <c r="D418" s="6">
        <v>31940</v>
      </c>
      <c r="E418">
        <v>1</v>
      </c>
      <c r="F418">
        <v>51000</v>
      </c>
      <c r="G418">
        <v>1</v>
      </c>
      <c r="H418">
        <v>3</v>
      </c>
      <c r="I418">
        <v>15</v>
      </c>
    </row>
    <row r="419" spans="1:9" x14ac:dyDescent="0.3">
      <c r="A419" t="s">
        <v>463</v>
      </c>
      <c r="B419" t="s">
        <v>43</v>
      </c>
      <c r="C419" t="s">
        <v>44</v>
      </c>
      <c r="D419" s="6">
        <v>35794</v>
      </c>
      <c r="E419">
        <v>1</v>
      </c>
      <c r="F419">
        <v>25500</v>
      </c>
      <c r="G419">
        <v>1</v>
      </c>
      <c r="H419">
        <v>11</v>
      </c>
      <c r="I419">
        <v>1</v>
      </c>
    </row>
    <row r="420" spans="1:9" x14ac:dyDescent="0.3">
      <c r="A420" t="s">
        <v>464</v>
      </c>
      <c r="B420" t="s">
        <v>43</v>
      </c>
      <c r="C420" t="s">
        <v>44</v>
      </c>
      <c r="D420" s="6">
        <v>25246</v>
      </c>
      <c r="E420">
        <v>1</v>
      </c>
      <c r="F420">
        <v>27540</v>
      </c>
      <c r="G420">
        <v>1</v>
      </c>
      <c r="H420">
        <v>3</v>
      </c>
      <c r="I420">
        <v>5</v>
      </c>
    </row>
    <row r="421" spans="1:9" x14ac:dyDescent="0.3">
      <c r="A421" t="s">
        <v>465</v>
      </c>
      <c r="B421" t="s">
        <v>43</v>
      </c>
      <c r="C421" t="s">
        <v>46</v>
      </c>
      <c r="D421" s="6">
        <v>31733</v>
      </c>
      <c r="E421">
        <v>32</v>
      </c>
      <c r="F421">
        <v>106600</v>
      </c>
      <c r="G421">
        <v>1</v>
      </c>
      <c r="H421">
        <v>5</v>
      </c>
      <c r="I421">
        <v>9</v>
      </c>
    </row>
    <row r="422" spans="1:9" x14ac:dyDescent="0.3">
      <c r="A422" t="s">
        <v>466</v>
      </c>
      <c r="B422" t="s">
        <v>53</v>
      </c>
      <c r="C422" t="s">
        <v>46</v>
      </c>
      <c r="D422" s="6">
        <v>27599</v>
      </c>
      <c r="E422">
        <v>1</v>
      </c>
      <c r="F422">
        <v>32640</v>
      </c>
      <c r="G422">
        <v>1</v>
      </c>
      <c r="H422">
        <v>7</v>
      </c>
      <c r="I422">
        <v>2</v>
      </c>
    </row>
    <row r="423" spans="1:9" x14ac:dyDescent="0.3">
      <c r="A423" t="s">
        <v>467</v>
      </c>
      <c r="B423" t="s">
        <v>43</v>
      </c>
      <c r="C423" t="s">
        <v>46</v>
      </c>
      <c r="D423" s="6">
        <v>24293</v>
      </c>
      <c r="E423">
        <v>15</v>
      </c>
      <c r="F423">
        <v>52000</v>
      </c>
      <c r="G423">
        <v>1</v>
      </c>
      <c r="H423">
        <v>8</v>
      </c>
      <c r="I423">
        <v>4</v>
      </c>
    </row>
    <row r="424" spans="1:9" x14ac:dyDescent="0.3">
      <c r="A424" t="s">
        <v>468</v>
      </c>
      <c r="B424" t="s">
        <v>43</v>
      </c>
      <c r="C424" t="s">
        <v>44</v>
      </c>
      <c r="D424" s="6">
        <v>33584</v>
      </c>
      <c r="E424">
        <v>1</v>
      </c>
      <c r="F424">
        <v>25500</v>
      </c>
      <c r="G424">
        <v>1</v>
      </c>
      <c r="H424">
        <v>7</v>
      </c>
      <c r="I424">
        <v>1</v>
      </c>
    </row>
    <row r="425" spans="1:9" x14ac:dyDescent="0.3">
      <c r="A425" t="s">
        <v>469</v>
      </c>
      <c r="B425" t="s">
        <v>53</v>
      </c>
      <c r="C425" t="s">
        <v>44</v>
      </c>
      <c r="D425" s="6">
        <v>24085</v>
      </c>
      <c r="E425">
        <v>1</v>
      </c>
      <c r="F425">
        <v>27540</v>
      </c>
      <c r="G425">
        <v>1</v>
      </c>
      <c r="H425">
        <v>1</v>
      </c>
      <c r="I425">
        <v>5</v>
      </c>
    </row>
    <row r="426" spans="1:9" x14ac:dyDescent="0.3">
      <c r="A426" t="s">
        <v>470</v>
      </c>
      <c r="B426" t="s">
        <v>43</v>
      </c>
      <c r="C426" t="s">
        <v>46</v>
      </c>
      <c r="D426" s="6">
        <v>28835</v>
      </c>
      <c r="E426">
        <v>1</v>
      </c>
      <c r="F426">
        <v>40800</v>
      </c>
      <c r="G426">
        <v>1</v>
      </c>
      <c r="H426">
        <v>5</v>
      </c>
      <c r="I426">
        <v>4</v>
      </c>
    </row>
    <row r="427" spans="1:9" x14ac:dyDescent="0.3">
      <c r="A427" t="s">
        <v>471</v>
      </c>
      <c r="B427" t="s">
        <v>43</v>
      </c>
      <c r="C427" t="s">
        <v>46</v>
      </c>
      <c r="D427" s="6">
        <v>24039</v>
      </c>
      <c r="E427">
        <v>1</v>
      </c>
      <c r="F427">
        <v>51000</v>
      </c>
      <c r="G427">
        <v>1</v>
      </c>
      <c r="H427">
        <v>4</v>
      </c>
      <c r="I427">
        <v>15</v>
      </c>
    </row>
    <row r="428" spans="1:9" x14ac:dyDescent="0.3">
      <c r="A428" t="s">
        <v>472</v>
      </c>
      <c r="B428" t="s">
        <v>53</v>
      </c>
      <c r="C428" t="s">
        <v>46</v>
      </c>
      <c r="D428" s="6">
        <v>25263</v>
      </c>
      <c r="E428">
        <v>31</v>
      </c>
      <c r="F428">
        <v>64800</v>
      </c>
      <c r="G428">
        <v>1</v>
      </c>
      <c r="H428">
        <v>10</v>
      </c>
      <c r="I428">
        <v>4</v>
      </c>
    </row>
    <row r="429" spans="1:9" x14ac:dyDescent="0.3">
      <c r="A429" t="s">
        <v>473</v>
      </c>
      <c r="B429" t="s">
        <v>53</v>
      </c>
      <c r="C429" t="s">
        <v>44</v>
      </c>
      <c r="D429" s="6">
        <v>32448</v>
      </c>
      <c r="E429">
        <v>10</v>
      </c>
      <c r="F429">
        <v>33600</v>
      </c>
      <c r="G429">
        <v>1</v>
      </c>
      <c r="H429">
        <v>4</v>
      </c>
      <c r="I429">
        <v>7</v>
      </c>
    </row>
    <row r="430" spans="1:9" x14ac:dyDescent="0.3">
      <c r="A430" t="s">
        <v>474</v>
      </c>
      <c r="B430" t="s">
        <v>43</v>
      </c>
      <c r="C430" t="s">
        <v>44</v>
      </c>
      <c r="D430" s="6">
        <v>31124</v>
      </c>
      <c r="E430">
        <v>1</v>
      </c>
      <c r="F430">
        <v>25500</v>
      </c>
      <c r="G430">
        <v>1</v>
      </c>
      <c r="H430">
        <v>5</v>
      </c>
      <c r="I430">
        <v>1</v>
      </c>
    </row>
    <row r="431" spans="1:9" x14ac:dyDescent="0.3">
      <c r="A431" t="s">
        <v>475</v>
      </c>
      <c r="B431" t="s">
        <v>43</v>
      </c>
      <c r="C431" t="s">
        <v>46</v>
      </c>
      <c r="D431" s="6">
        <v>30777</v>
      </c>
      <c r="E431">
        <v>17</v>
      </c>
      <c r="F431">
        <v>53600</v>
      </c>
      <c r="G431">
        <v>1</v>
      </c>
      <c r="H431">
        <v>3</v>
      </c>
      <c r="I431">
        <v>4</v>
      </c>
    </row>
    <row r="432" spans="1:9" x14ac:dyDescent="0.3">
      <c r="A432" t="s">
        <v>476</v>
      </c>
      <c r="B432" t="s">
        <v>53</v>
      </c>
      <c r="C432" t="s">
        <v>46</v>
      </c>
      <c r="D432" s="6">
        <v>37845</v>
      </c>
      <c r="E432">
        <v>30</v>
      </c>
      <c r="F432">
        <v>104000</v>
      </c>
      <c r="G432">
        <v>1</v>
      </c>
      <c r="H432">
        <v>10</v>
      </c>
      <c r="I432">
        <v>9</v>
      </c>
    </row>
    <row r="433" spans="1:9" x14ac:dyDescent="0.3">
      <c r="A433" t="s">
        <v>477</v>
      </c>
      <c r="B433" t="s">
        <v>53</v>
      </c>
      <c r="C433" t="s">
        <v>46</v>
      </c>
      <c r="D433" s="6">
        <v>25731</v>
      </c>
      <c r="E433">
        <v>28</v>
      </c>
      <c r="F433">
        <v>43680</v>
      </c>
      <c r="G433">
        <v>1</v>
      </c>
      <c r="H433">
        <v>10</v>
      </c>
      <c r="I433">
        <v>7</v>
      </c>
    </row>
    <row r="434" spans="1:9" x14ac:dyDescent="0.3">
      <c r="A434" t="s">
        <v>478</v>
      </c>
      <c r="B434" t="s">
        <v>43</v>
      </c>
      <c r="C434" t="s">
        <v>44</v>
      </c>
      <c r="D434" s="6">
        <v>36176</v>
      </c>
      <c r="E434">
        <v>22</v>
      </c>
      <c r="F434">
        <v>100800</v>
      </c>
      <c r="G434">
        <v>1</v>
      </c>
      <c r="H434">
        <v>2</v>
      </c>
      <c r="I434">
        <v>10</v>
      </c>
    </row>
    <row r="435" spans="1:9" x14ac:dyDescent="0.3">
      <c r="A435" t="s">
        <v>479</v>
      </c>
      <c r="B435" t="s">
        <v>53</v>
      </c>
      <c r="C435" t="s">
        <v>46</v>
      </c>
      <c r="D435" s="6">
        <v>32529</v>
      </c>
      <c r="E435">
        <v>10</v>
      </c>
      <c r="F435">
        <v>60000</v>
      </c>
      <c r="G435">
        <v>1</v>
      </c>
      <c r="H435">
        <v>10</v>
      </c>
      <c r="I435">
        <v>15</v>
      </c>
    </row>
    <row r="436" spans="1:9" x14ac:dyDescent="0.3">
      <c r="A436" t="s">
        <v>480</v>
      </c>
      <c r="B436" t="s">
        <v>43</v>
      </c>
      <c r="C436" t="s">
        <v>44</v>
      </c>
      <c r="D436" s="6">
        <v>34001</v>
      </c>
      <c r="E436">
        <v>8</v>
      </c>
      <c r="F436">
        <v>32480</v>
      </c>
      <c r="G436">
        <v>1</v>
      </c>
      <c r="H436">
        <v>8</v>
      </c>
      <c r="I436">
        <v>7</v>
      </c>
    </row>
    <row r="437" spans="1:9" x14ac:dyDescent="0.3">
      <c r="A437" t="s">
        <v>481</v>
      </c>
      <c r="B437" t="s">
        <v>43</v>
      </c>
      <c r="C437" t="s">
        <v>46</v>
      </c>
      <c r="D437" s="6">
        <v>36808</v>
      </c>
      <c r="E437">
        <v>1</v>
      </c>
      <c r="F437">
        <v>61200</v>
      </c>
      <c r="G437">
        <v>1</v>
      </c>
      <c r="H437">
        <v>8</v>
      </c>
      <c r="I437">
        <v>8</v>
      </c>
    </row>
    <row r="438" spans="1:9" x14ac:dyDescent="0.3">
      <c r="A438" t="s">
        <v>482</v>
      </c>
      <c r="B438" t="s">
        <v>43</v>
      </c>
      <c r="C438" t="s">
        <v>46</v>
      </c>
      <c r="D438" s="6">
        <v>30545</v>
      </c>
      <c r="E438">
        <v>5</v>
      </c>
      <c r="F438">
        <v>28600</v>
      </c>
      <c r="G438">
        <v>1</v>
      </c>
      <c r="H438">
        <v>8</v>
      </c>
      <c r="I438">
        <v>3</v>
      </c>
    </row>
    <row r="439" spans="1:9" x14ac:dyDescent="0.3">
      <c r="A439" t="s">
        <v>483</v>
      </c>
      <c r="B439" t="s">
        <v>53</v>
      </c>
      <c r="C439" t="s">
        <v>44</v>
      </c>
      <c r="D439" s="6">
        <v>34130</v>
      </c>
      <c r="E439">
        <v>1</v>
      </c>
      <c r="F439">
        <v>51000</v>
      </c>
      <c r="G439">
        <v>1</v>
      </c>
      <c r="H439">
        <v>5</v>
      </c>
      <c r="I439">
        <v>15</v>
      </c>
    </row>
    <row r="440" spans="1:9" x14ac:dyDescent="0.3">
      <c r="A440" t="s">
        <v>484</v>
      </c>
      <c r="B440" t="s">
        <v>53</v>
      </c>
      <c r="C440" t="s">
        <v>44</v>
      </c>
      <c r="D440" s="6">
        <v>27136</v>
      </c>
      <c r="E440">
        <v>1</v>
      </c>
      <c r="F440">
        <v>32640</v>
      </c>
      <c r="G440">
        <v>1</v>
      </c>
      <c r="H440">
        <v>7</v>
      </c>
      <c r="I440">
        <v>2</v>
      </c>
    </row>
    <row r="441" spans="1:9" x14ac:dyDescent="0.3">
      <c r="A441" t="s">
        <v>485</v>
      </c>
      <c r="B441" t="s">
        <v>43</v>
      </c>
      <c r="C441" t="s">
        <v>44</v>
      </c>
      <c r="D441" s="6">
        <v>32120</v>
      </c>
      <c r="E441">
        <v>1</v>
      </c>
      <c r="F441">
        <v>66300</v>
      </c>
      <c r="G441">
        <v>1</v>
      </c>
      <c r="H441">
        <v>5</v>
      </c>
      <c r="I441">
        <v>9</v>
      </c>
    </row>
    <row r="442" spans="1:9" x14ac:dyDescent="0.3">
      <c r="A442" t="s">
        <v>486</v>
      </c>
      <c r="B442" t="s">
        <v>53</v>
      </c>
      <c r="C442" t="s">
        <v>46</v>
      </c>
      <c r="D442" s="6">
        <v>33185</v>
      </c>
      <c r="E442">
        <v>1</v>
      </c>
      <c r="F442">
        <v>27540</v>
      </c>
      <c r="G442">
        <v>1</v>
      </c>
      <c r="H442">
        <v>5</v>
      </c>
      <c r="I442">
        <v>5</v>
      </c>
    </row>
    <row r="443" spans="1:9" x14ac:dyDescent="0.3">
      <c r="A443" t="s">
        <v>487</v>
      </c>
      <c r="B443" t="s">
        <v>43</v>
      </c>
      <c r="C443" t="s">
        <v>44</v>
      </c>
      <c r="D443" s="6">
        <v>29730</v>
      </c>
      <c r="E443">
        <v>18</v>
      </c>
      <c r="F443">
        <v>34000</v>
      </c>
      <c r="G443">
        <v>1</v>
      </c>
      <c r="H443">
        <v>11</v>
      </c>
      <c r="I443">
        <v>1</v>
      </c>
    </row>
    <row r="444" spans="1:9" x14ac:dyDescent="0.3">
      <c r="A444" t="s">
        <v>488</v>
      </c>
      <c r="B444" t="s">
        <v>53</v>
      </c>
      <c r="C444" t="s">
        <v>46</v>
      </c>
      <c r="D444" s="6">
        <v>35937</v>
      </c>
      <c r="E444">
        <v>1</v>
      </c>
      <c r="F444">
        <v>61200</v>
      </c>
      <c r="G444">
        <v>1</v>
      </c>
      <c r="H444">
        <v>7</v>
      </c>
      <c r="I444">
        <v>8</v>
      </c>
    </row>
    <row r="445" spans="1:9" x14ac:dyDescent="0.3">
      <c r="A445" t="s">
        <v>489</v>
      </c>
      <c r="B445" t="s">
        <v>53</v>
      </c>
      <c r="C445" t="s">
        <v>44</v>
      </c>
      <c r="D445" s="6">
        <v>36282</v>
      </c>
      <c r="E445">
        <v>1</v>
      </c>
      <c r="F445">
        <v>66300</v>
      </c>
      <c r="G445">
        <v>1</v>
      </c>
      <c r="H445">
        <v>1</v>
      </c>
      <c r="I445">
        <v>9</v>
      </c>
    </row>
    <row r="446" spans="1:9" x14ac:dyDescent="0.3">
      <c r="A446" t="s">
        <v>490</v>
      </c>
      <c r="B446" t="s">
        <v>43</v>
      </c>
      <c r="C446" t="s">
        <v>44</v>
      </c>
      <c r="D446" s="6">
        <v>35229</v>
      </c>
      <c r="E446">
        <v>1</v>
      </c>
      <c r="F446">
        <v>26520</v>
      </c>
      <c r="G446">
        <v>1</v>
      </c>
      <c r="H446">
        <v>8</v>
      </c>
      <c r="I446">
        <v>3</v>
      </c>
    </row>
    <row r="447" spans="1:9" x14ac:dyDescent="0.3">
      <c r="A447" t="s">
        <v>491</v>
      </c>
      <c r="B447" t="s">
        <v>53</v>
      </c>
      <c r="C447" t="s">
        <v>46</v>
      </c>
      <c r="D447" s="6">
        <v>36263</v>
      </c>
      <c r="E447">
        <v>1</v>
      </c>
      <c r="F447">
        <v>28560</v>
      </c>
      <c r="G447">
        <v>1</v>
      </c>
      <c r="H447">
        <v>3</v>
      </c>
      <c r="I447">
        <v>7</v>
      </c>
    </row>
    <row r="448" spans="1:9" x14ac:dyDescent="0.3">
      <c r="A448" t="s">
        <v>492</v>
      </c>
      <c r="B448" t="s">
        <v>43</v>
      </c>
      <c r="C448" t="s">
        <v>44</v>
      </c>
      <c r="D448" s="6">
        <v>30967</v>
      </c>
      <c r="E448">
        <v>16</v>
      </c>
      <c r="F448">
        <v>79200</v>
      </c>
      <c r="G448">
        <v>1</v>
      </c>
      <c r="H448">
        <v>7</v>
      </c>
      <c r="I448">
        <v>8</v>
      </c>
    </row>
    <row r="449" spans="1:9" x14ac:dyDescent="0.3">
      <c r="A449" t="s">
        <v>493</v>
      </c>
      <c r="B449" t="s">
        <v>53</v>
      </c>
      <c r="C449" t="s">
        <v>46</v>
      </c>
      <c r="D449" s="6">
        <v>26739</v>
      </c>
      <c r="E449">
        <v>29</v>
      </c>
      <c r="F449">
        <v>47400</v>
      </c>
      <c r="G449">
        <v>1</v>
      </c>
      <c r="H449">
        <v>11</v>
      </c>
      <c r="I449">
        <v>6</v>
      </c>
    </row>
    <row r="450" spans="1:9" x14ac:dyDescent="0.3">
      <c r="A450" t="s">
        <v>494</v>
      </c>
      <c r="B450" t="s">
        <v>43</v>
      </c>
      <c r="C450" t="s">
        <v>46</v>
      </c>
      <c r="D450" s="6">
        <v>25823</v>
      </c>
      <c r="E450">
        <v>1</v>
      </c>
      <c r="F450">
        <v>32640</v>
      </c>
      <c r="G450">
        <v>1</v>
      </c>
      <c r="H450">
        <v>1</v>
      </c>
      <c r="I450">
        <v>2</v>
      </c>
    </row>
    <row r="451" spans="1:9" x14ac:dyDescent="0.3">
      <c r="A451" t="s">
        <v>495</v>
      </c>
      <c r="B451" t="s">
        <v>43</v>
      </c>
      <c r="C451" t="s">
        <v>44</v>
      </c>
      <c r="D451" s="6">
        <v>25001</v>
      </c>
      <c r="E451">
        <v>17</v>
      </c>
      <c r="F451">
        <v>33500</v>
      </c>
      <c r="G451">
        <v>1</v>
      </c>
      <c r="H451">
        <v>9</v>
      </c>
      <c r="I451">
        <v>1</v>
      </c>
    </row>
    <row r="452" spans="1:9" x14ac:dyDescent="0.3">
      <c r="A452" t="s">
        <v>496</v>
      </c>
      <c r="B452" t="s">
        <v>53</v>
      </c>
      <c r="C452" t="s">
        <v>46</v>
      </c>
      <c r="D452" s="6">
        <v>34180</v>
      </c>
      <c r="E452">
        <v>1</v>
      </c>
      <c r="F452">
        <v>40800</v>
      </c>
      <c r="G452">
        <v>1</v>
      </c>
      <c r="H452">
        <v>5</v>
      </c>
      <c r="I452">
        <v>4</v>
      </c>
    </row>
    <row r="453" spans="1:9" x14ac:dyDescent="0.3">
      <c r="A453" t="s">
        <v>497</v>
      </c>
      <c r="B453" t="s">
        <v>43</v>
      </c>
      <c r="C453" t="s">
        <v>46</v>
      </c>
      <c r="D453" s="6">
        <v>27201</v>
      </c>
      <c r="E453">
        <v>6</v>
      </c>
      <c r="F453">
        <v>29120</v>
      </c>
      <c r="G453">
        <v>1</v>
      </c>
      <c r="H453">
        <v>3</v>
      </c>
      <c r="I453">
        <v>3</v>
      </c>
    </row>
    <row r="454" spans="1:9" x14ac:dyDescent="0.3">
      <c r="A454" t="s">
        <v>498</v>
      </c>
      <c r="B454" t="s">
        <v>53</v>
      </c>
      <c r="C454" t="s">
        <v>46</v>
      </c>
      <c r="D454" s="6">
        <v>34099</v>
      </c>
      <c r="E454">
        <v>1</v>
      </c>
      <c r="F454">
        <v>61200</v>
      </c>
      <c r="G454">
        <v>1</v>
      </c>
      <c r="H454">
        <v>1</v>
      </c>
      <c r="I454">
        <v>8</v>
      </c>
    </row>
    <row r="455" spans="1:9" x14ac:dyDescent="0.3">
      <c r="A455" t="s">
        <v>499</v>
      </c>
      <c r="B455" t="s">
        <v>53</v>
      </c>
      <c r="C455" t="s">
        <v>46</v>
      </c>
      <c r="D455" s="6">
        <v>27831</v>
      </c>
      <c r="E455">
        <v>24</v>
      </c>
      <c r="F455">
        <v>96200</v>
      </c>
      <c r="G455">
        <v>1</v>
      </c>
      <c r="H455">
        <v>5</v>
      </c>
      <c r="I455">
        <v>9</v>
      </c>
    </row>
    <row r="456" spans="1:9" x14ac:dyDescent="0.3">
      <c r="A456" t="s">
        <v>500</v>
      </c>
      <c r="B456" t="s">
        <v>53</v>
      </c>
      <c r="C456" t="s">
        <v>46</v>
      </c>
      <c r="D456" s="6">
        <v>30019</v>
      </c>
      <c r="E456">
        <v>1</v>
      </c>
      <c r="F456">
        <v>26520</v>
      </c>
      <c r="G456">
        <v>1</v>
      </c>
      <c r="H456">
        <v>11</v>
      </c>
      <c r="I456">
        <v>3</v>
      </c>
    </row>
    <row r="457" spans="1:9" x14ac:dyDescent="0.3">
      <c r="A457" t="s">
        <v>501</v>
      </c>
      <c r="B457" t="s">
        <v>43</v>
      </c>
      <c r="C457" t="s">
        <v>44</v>
      </c>
      <c r="D457" s="6">
        <v>26441</v>
      </c>
      <c r="E457">
        <v>1</v>
      </c>
      <c r="F457">
        <v>66300</v>
      </c>
      <c r="G457">
        <v>1</v>
      </c>
      <c r="H457">
        <v>10</v>
      </c>
      <c r="I457">
        <v>9</v>
      </c>
    </row>
    <row r="458" spans="1:9" x14ac:dyDescent="0.3">
      <c r="A458" t="s">
        <v>502</v>
      </c>
      <c r="B458" t="s">
        <v>53</v>
      </c>
      <c r="C458" t="s">
        <v>44</v>
      </c>
      <c r="D458" s="6">
        <v>28859</v>
      </c>
      <c r="E458">
        <v>34</v>
      </c>
      <c r="F458">
        <v>84000</v>
      </c>
      <c r="G458">
        <v>1</v>
      </c>
      <c r="H458">
        <v>11</v>
      </c>
      <c r="I458">
        <v>15</v>
      </c>
    </row>
    <row r="459" spans="1:9" x14ac:dyDescent="0.3">
      <c r="A459" t="s">
        <v>503</v>
      </c>
      <c r="B459" t="s">
        <v>43</v>
      </c>
      <c r="C459" t="s">
        <v>46</v>
      </c>
      <c r="D459" s="6">
        <v>31651</v>
      </c>
      <c r="E459">
        <v>1</v>
      </c>
      <c r="F459">
        <v>61200</v>
      </c>
      <c r="G459">
        <v>1</v>
      </c>
      <c r="H459">
        <v>2</v>
      </c>
      <c r="I459">
        <v>8</v>
      </c>
    </row>
    <row r="460" spans="1:9" x14ac:dyDescent="0.3">
      <c r="A460" t="s">
        <v>504</v>
      </c>
      <c r="B460" t="s">
        <v>43</v>
      </c>
      <c r="C460" t="s">
        <v>46</v>
      </c>
      <c r="D460" s="6">
        <v>37610</v>
      </c>
      <c r="E460">
        <v>7</v>
      </c>
      <c r="F460">
        <v>30780</v>
      </c>
      <c r="G460">
        <v>1</v>
      </c>
      <c r="H460">
        <v>3</v>
      </c>
      <c r="I460">
        <v>5</v>
      </c>
    </row>
    <row r="461" spans="1:9" x14ac:dyDescent="0.3">
      <c r="A461" t="s">
        <v>505</v>
      </c>
      <c r="B461" t="s">
        <v>43</v>
      </c>
      <c r="C461" t="s">
        <v>46</v>
      </c>
      <c r="D461" s="6">
        <v>24753</v>
      </c>
      <c r="E461">
        <v>1</v>
      </c>
      <c r="F461">
        <v>32640</v>
      </c>
      <c r="G461">
        <v>1</v>
      </c>
      <c r="H461">
        <v>11</v>
      </c>
      <c r="I461">
        <v>2</v>
      </c>
    </row>
    <row r="462" spans="1:9" x14ac:dyDescent="0.3">
      <c r="A462" t="s">
        <v>506</v>
      </c>
      <c r="B462" t="s">
        <v>53</v>
      </c>
      <c r="C462" t="s">
        <v>46</v>
      </c>
      <c r="D462" s="6">
        <v>32801</v>
      </c>
      <c r="E462">
        <v>1</v>
      </c>
      <c r="F462">
        <v>25500</v>
      </c>
      <c r="G462">
        <v>1</v>
      </c>
      <c r="H462">
        <v>8</v>
      </c>
      <c r="I462">
        <v>1</v>
      </c>
    </row>
    <row r="463" spans="1:9" x14ac:dyDescent="0.3">
      <c r="A463" t="s">
        <v>507</v>
      </c>
      <c r="B463" t="s">
        <v>43</v>
      </c>
      <c r="C463" t="s">
        <v>44</v>
      </c>
      <c r="D463" s="6">
        <v>30215</v>
      </c>
      <c r="E463">
        <v>1</v>
      </c>
      <c r="F463">
        <v>40800</v>
      </c>
      <c r="G463">
        <v>1</v>
      </c>
      <c r="H463">
        <v>9</v>
      </c>
      <c r="I463">
        <v>4</v>
      </c>
    </row>
    <row r="464" spans="1:9" x14ac:dyDescent="0.3">
      <c r="A464" t="s">
        <v>508</v>
      </c>
      <c r="B464" t="s">
        <v>53</v>
      </c>
      <c r="C464" t="s">
        <v>46</v>
      </c>
      <c r="D464" s="6">
        <v>37888</v>
      </c>
      <c r="E464">
        <v>1</v>
      </c>
      <c r="F464">
        <v>32640</v>
      </c>
      <c r="G464">
        <v>1</v>
      </c>
      <c r="H464">
        <v>5</v>
      </c>
      <c r="I464">
        <v>2</v>
      </c>
    </row>
    <row r="465" spans="1:9" x14ac:dyDescent="0.3">
      <c r="A465" t="s">
        <v>509</v>
      </c>
      <c r="B465" t="s">
        <v>53</v>
      </c>
      <c r="C465" t="s">
        <v>44</v>
      </c>
      <c r="D465" s="6">
        <v>28283</v>
      </c>
      <c r="E465">
        <v>1</v>
      </c>
      <c r="F465">
        <v>30600</v>
      </c>
      <c r="G465">
        <v>1</v>
      </c>
      <c r="H465">
        <v>7</v>
      </c>
      <c r="I465">
        <v>6</v>
      </c>
    </row>
    <row r="466" spans="1:9" x14ac:dyDescent="0.3">
      <c r="A466" t="s">
        <v>510</v>
      </c>
      <c r="B466" t="s">
        <v>53</v>
      </c>
      <c r="C466" t="s">
        <v>46</v>
      </c>
      <c r="D466" s="6">
        <v>32208</v>
      </c>
      <c r="E466">
        <v>1</v>
      </c>
      <c r="F466">
        <v>27540</v>
      </c>
      <c r="G466">
        <v>1</v>
      </c>
      <c r="H466">
        <v>3</v>
      </c>
      <c r="I466">
        <v>5</v>
      </c>
    </row>
    <row r="467" spans="1:9" x14ac:dyDescent="0.3">
      <c r="A467" t="s">
        <v>511</v>
      </c>
      <c r="B467" t="s">
        <v>53</v>
      </c>
      <c r="C467" t="s">
        <v>44</v>
      </c>
      <c r="D467" s="6">
        <v>33562</v>
      </c>
      <c r="E467">
        <v>1</v>
      </c>
      <c r="F467">
        <v>40800</v>
      </c>
      <c r="G467">
        <v>1</v>
      </c>
      <c r="H467">
        <v>9</v>
      </c>
      <c r="I467">
        <v>4</v>
      </c>
    </row>
    <row r="468" spans="1:9" x14ac:dyDescent="0.3">
      <c r="A468" t="s">
        <v>512</v>
      </c>
      <c r="B468" t="s">
        <v>43</v>
      </c>
      <c r="C468" t="s">
        <v>44</v>
      </c>
      <c r="D468" s="6">
        <v>28877</v>
      </c>
      <c r="E468">
        <v>1</v>
      </c>
      <c r="F468">
        <v>26520</v>
      </c>
      <c r="G468">
        <v>1</v>
      </c>
      <c r="H468">
        <v>1</v>
      </c>
      <c r="I468">
        <v>3</v>
      </c>
    </row>
    <row r="469" spans="1:9" x14ac:dyDescent="0.3">
      <c r="A469" t="s">
        <v>513</v>
      </c>
      <c r="B469" t="s">
        <v>43</v>
      </c>
      <c r="C469" t="s">
        <v>46</v>
      </c>
      <c r="D469" s="6">
        <v>26769</v>
      </c>
      <c r="E469">
        <v>1</v>
      </c>
      <c r="F469">
        <v>27540</v>
      </c>
      <c r="G469">
        <v>1</v>
      </c>
      <c r="H469">
        <v>4</v>
      </c>
      <c r="I469">
        <v>5</v>
      </c>
    </row>
    <row r="470" spans="1:9" x14ac:dyDescent="0.3">
      <c r="A470" t="s">
        <v>514</v>
      </c>
      <c r="B470" t="s">
        <v>53</v>
      </c>
      <c r="C470" t="s">
        <v>44</v>
      </c>
      <c r="D470" s="6">
        <v>33276</v>
      </c>
      <c r="E470">
        <v>1</v>
      </c>
      <c r="F470">
        <v>40800</v>
      </c>
      <c r="G470">
        <v>1</v>
      </c>
      <c r="H470">
        <v>10</v>
      </c>
      <c r="I470">
        <v>4</v>
      </c>
    </row>
    <row r="471" spans="1:9" x14ac:dyDescent="0.3">
      <c r="A471" t="s">
        <v>515</v>
      </c>
      <c r="B471" t="s">
        <v>53</v>
      </c>
      <c r="C471" t="s">
        <v>44</v>
      </c>
      <c r="D471" s="6">
        <v>30456</v>
      </c>
      <c r="E471">
        <v>20</v>
      </c>
      <c r="F471">
        <v>36400</v>
      </c>
      <c r="G471">
        <v>1</v>
      </c>
      <c r="H471">
        <v>7</v>
      </c>
      <c r="I471">
        <v>3</v>
      </c>
    </row>
    <row r="472" spans="1:9" x14ac:dyDescent="0.3">
      <c r="A472" t="s">
        <v>516</v>
      </c>
      <c r="B472" t="s">
        <v>53</v>
      </c>
      <c r="C472" t="s">
        <v>44</v>
      </c>
      <c r="D472" s="6">
        <v>34374</v>
      </c>
      <c r="E472">
        <v>9</v>
      </c>
      <c r="F472">
        <v>76700</v>
      </c>
      <c r="G472">
        <v>1</v>
      </c>
      <c r="H472">
        <v>7</v>
      </c>
      <c r="I472">
        <v>9</v>
      </c>
    </row>
    <row r="473" spans="1:9" x14ac:dyDescent="0.3">
      <c r="A473" t="s">
        <v>517</v>
      </c>
      <c r="B473" t="s">
        <v>43</v>
      </c>
      <c r="C473" t="s">
        <v>44</v>
      </c>
      <c r="D473" s="6">
        <v>29026</v>
      </c>
      <c r="E473">
        <v>31</v>
      </c>
      <c r="F473">
        <v>45360</v>
      </c>
      <c r="G473">
        <v>1</v>
      </c>
      <c r="H473">
        <v>3</v>
      </c>
      <c r="I473">
        <v>7</v>
      </c>
    </row>
    <row r="474" spans="1:9" x14ac:dyDescent="0.3">
      <c r="A474" t="s">
        <v>518</v>
      </c>
      <c r="B474" t="s">
        <v>53</v>
      </c>
      <c r="C474" t="s">
        <v>46</v>
      </c>
      <c r="D474" s="6">
        <v>26243</v>
      </c>
      <c r="E474">
        <v>34</v>
      </c>
      <c r="F474">
        <v>67200</v>
      </c>
      <c r="G474">
        <v>1</v>
      </c>
      <c r="H474">
        <v>2</v>
      </c>
      <c r="I474">
        <v>4</v>
      </c>
    </row>
    <row r="475" spans="1:9" x14ac:dyDescent="0.3">
      <c r="A475" t="s">
        <v>519</v>
      </c>
      <c r="B475" t="s">
        <v>53</v>
      </c>
      <c r="C475" t="s">
        <v>44</v>
      </c>
      <c r="D475" s="6">
        <v>26334</v>
      </c>
      <c r="E475">
        <v>1</v>
      </c>
      <c r="F475">
        <v>26520</v>
      </c>
      <c r="G475">
        <v>1</v>
      </c>
      <c r="H475">
        <v>9</v>
      </c>
      <c r="I475">
        <v>3</v>
      </c>
    </row>
    <row r="476" spans="1:9" x14ac:dyDescent="0.3">
      <c r="A476" t="s">
        <v>520</v>
      </c>
      <c r="B476" t="s">
        <v>43</v>
      </c>
      <c r="C476" t="s">
        <v>46</v>
      </c>
      <c r="D476" s="6">
        <v>30823</v>
      </c>
      <c r="E476">
        <v>1</v>
      </c>
      <c r="F476">
        <v>25500</v>
      </c>
      <c r="G476">
        <v>1</v>
      </c>
      <c r="H476">
        <v>6</v>
      </c>
      <c r="I476">
        <v>1</v>
      </c>
    </row>
    <row r="477" spans="1:9" x14ac:dyDescent="0.3">
      <c r="A477" t="s">
        <v>521</v>
      </c>
      <c r="B477" t="s">
        <v>43</v>
      </c>
      <c r="C477" t="s">
        <v>44</v>
      </c>
      <c r="D477" s="6">
        <v>29143</v>
      </c>
      <c r="E477">
        <v>1</v>
      </c>
      <c r="F477">
        <v>28560</v>
      </c>
      <c r="G477">
        <v>1</v>
      </c>
      <c r="H477">
        <v>5</v>
      </c>
      <c r="I477">
        <v>7</v>
      </c>
    </row>
    <row r="478" spans="1:9" x14ac:dyDescent="0.3">
      <c r="A478" t="s">
        <v>522</v>
      </c>
      <c r="B478" t="s">
        <v>53</v>
      </c>
      <c r="C478" t="s">
        <v>44</v>
      </c>
      <c r="D478" s="6">
        <v>33695</v>
      </c>
      <c r="E478">
        <v>1</v>
      </c>
      <c r="F478">
        <v>25500</v>
      </c>
      <c r="G478">
        <v>1</v>
      </c>
      <c r="H478">
        <v>7</v>
      </c>
      <c r="I478">
        <v>1</v>
      </c>
    </row>
    <row r="479" spans="1:9" x14ac:dyDescent="0.3">
      <c r="A479" t="s">
        <v>523</v>
      </c>
      <c r="B479" t="s">
        <v>53</v>
      </c>
      <c r="C479" t="s">
        <v>46</v>
      </c>
      <c r="D479" s="6">
        <v>24966</v>
      </c>
      <c r="E479">
        <v>1</v>
      </c>
      <c r="F479">
        <v>66300</v>
      </c>
      <c r="G479">
        <v>1</v>
      </c>
      <c r="H479">
        <v>10</v>
      </c>
      <c r="I479">
        <v>9</v>
      </c>
    </row>
    <row r="480" spans="1:9" x14ac:dyDescent="0.3">
      <c r="A480" t="s">
        <v>524</v>
      </c>
      <c r="B480" t="s">
        <v>43</v>
      </c>
      <c r="C480" t="s">
        <v>44</v>
      </c>
      <c r="D480" s="6">
        <v>31524</v>
      </c>
      <c r="E480">
        <v>1</v>
      </c>
      <c r="F480">
        <v>61200</v>
      </c>
      <c r="G480">
        <v>1</v>
      </c>
      <c r="H480">
        <v>11</v>
      </c>
      <c r="I480">
        <v>8</v>
      </c>
    </row>
    <row r="481" spans="1:9" x14ac:dyDescent="0.3">
      <c r="A481" t="s">
        <v>525</v>
      </c>
      <c r="B481" t="s">
        <v>43</v>
      </c>
      <c r="C481" t="s">
        <v>44</v>
      </c>
      <c r="D481" s="6">
        <v>28773</v>
      </c>
      <c r="E481">
        <v>1</v>
      </c>
      <c r="F481">
        <v>27540</v>
      </c>
      <c r="G481">
        <v>1</v>
      </c>
      <c r="H481">
        <v>4</v>
      </c>
      <c r="I481">
        <v>5</v>
      </c>
    </row>
    <row r="482" spans="1:9" x14ac:dyDescent="0.3">
      <c r="A482" t="s">
        <v>526</v>
      </c>
      <c r="B482" t="s">
        <v>43</v>
      </c>
      <c r="C482" t="s">
        <v>44</v>
      </c>
      <c r="D482" s="6">
        <v>33453</v>
      </c>
      <c r="E482">
        <v>1</v>
      </c>
      <c r="F482">
        <v>61200</v>
      </c>
      <c r="G482">
        <v>1</v>
      </c>
      <c r="H482">
        <v>5</v>
      </c>
      <c r="I482">
        <v>8</v>
      </c>
    </row>
    <row r="483" spans="1:9" x14ac:dyDescent="0.3">
      <c r="A483" t="s">
        <v>527</v>
      </c>
      <c r="B483" t="s">
        <v>43</v>
      </c>
      <c r="C483" t="s">
        <v>46</v>
      </c>
      <c r="D483" s="6">
        <v>31010</v>
      </c>
      <c r="E483">
        <v>1</v>
      </c>
      <c r="F483">
        <v>26520</v>
      </c>
      <c r="G483">
        <v>1</v>
      </c>
      <c r="H483">
        <v>5</v>
      </c>
      <c r="I483">
        <v>3</v>
      </c>
    </row>
    <row r="484" spans="1:9" x14ac:dyDescent="0.3">
      <c r="A484" t="s">
        <v>528</v>
      </c>
      <c r="B484" t="s">
        <v>43</v>
      </c>
      <c r="C484" t="s">
        <v>46</v>
      </c>
      <c r="D484" s="6">
        <v>28574</v>
      </c>
      <c r="E484">
        <v>33</v>
      </c>
      <c r="F484">
        <v>107900</v>
      </c>
      <c r="G484">
        <v>1</v>
      </c>
      <c r="H484">
        <v>10</v>
      </c>
      <c r="I484">
        <v>9</v>
      </c>
    </row>
    <row r="485" spans="1:9" x14ac:dyDescent="0.3">
      <c r="A485" t="s">
        <v>529</v>
      </c>
      <c r="B485" t="s">
        <v>53</v>
      </c>
      <c r="C485" t="s">
        <v>44</v>
      </c>
      <c r="D485" s="6">
        <v>26668</v>
      </c>
      <c r="E485">
        <v>24</v>
      </c>
      <c r="F485">
        <v>39960</v>
      </c>
      <c r="G485">
        <v>1</v>
      </c>
      <c r="H485">
        <v>11</v>
      </c>
      <c r="I485">
        <v>5</v>
      </c>
    </row>
    <row r="486" spans="1:9" x14ac:dyDescent="0.3">
      <c r="A486" t="s">
        <v>530</v>
      </c>
      <c r="B486" t="s">
        <v>53</v>
      </c>
      <c r="C486" t="s">
        <v>46</v>
      </c>
      <c r="D486" s="6">
        <v>34044</v>
      </c>
      <c r="E486">
        <v>1</v>
      </c>
      <c r="F486">
        <v>32640</v>
      </c>
      <c r="G486">
        <v>1</v>
      </c>
      <c r="H486">
        <v>6</v>
      </c>
      <c r="I486">
        <v>2</v>
      </c>
    </row>
    <row r="487" spans="1:9" x14ac:dyDescent="0.3">
      <c r="A487" t="s">
        <v>531</v>
      </c>
      <c r="B487" t="s">
        <v>43</v>
      </c>
      <c r="C487" t="s">
        <v>44</v>
      </c>
      <c r="D487" s="6">
        <v>31927</v>
      </c>
      <c r="E487">
        <v>33</v>
      </c>
      <c r="F487">
        <v>43160</v>
      </c>
      <c r="G487">
        <v>1</v>
      </c>
      <c r="H487">
        <v>8</v>
      </c>
      <c r="I487">
        <v>3</v>
      </c>
    </row>
    <row r="488" spans="1:9" x14ac:dyDescent="0.3">
      <c r="A488" t="s">
        <v>532</v>
      </c>
      <c r="B488" t="s">
        <v>53</v>
      </c>
      <c r="C488" t="s">
        <v>44</v>
      </c>
      <c r="D488" s="6">
        <v>30968</v>
      </c>
      <c r="E488">
        <v>1</v>
      </c>
      <c r="F488">
        <v>32640</v>
      </c>
      <c r="G488">
        <v>1</v>
      </c>
      <c r="H488">
        <v>2</v>
      </c>
      <c r="I488">
        <v>2</v>
      </c>
    </row>
    <row r="489" spans="1:9" x14ac:dyDescent="0.3">
      <c r="A489" t="s">
        <v>533</v>
      </c>
      <c r="B489" t="s">
        <v>43</v>
      </c>
      <c r="C489" t="s">
        <v>46</v>
      </c>
      <c r="D489" s="6">
        <v>30647</v>
      </c>
      <c r="E489">
        <v>19</v>
      </c>
      <c r="F489">
        <v>96600</v>
      </c>
      <c r="G489">
        <v>1</v>
      </c>
      <c r="H489">
        <v>5</v>
      </c>
      <c r="I489">
        <v>10</v>
      </c>
    </row>
    <row r="490" spans="1:9" x14ac:dyDescent="0.3">
      <c r="A490" t="s">
        <v>534</v>
      </c>
      <c r="B490" t="s">
        <v>43</v>
      </c>
      <c r="C490" t="s">
        <v>46</v>
      </c>
      <c r="D490" s="6">
        <v>35111</v>
      </c>
      <c r="E490">
        <v>1</v>
      </c>
      <c r="F490">
        <v>61200</v>
      </c>
      <c r="G490">
        <v>1</v>
      </c>
      <c r="H490">
        <v>8</v>
      </c>
      <c r="I490">
        <v>8</v>
      </c>
    </row>
    <row r="491" spans="1:9" x14ac:dyDescent="0.3">
      <c r="A491" t="s">
        <v>535</v>
      </c>
      <c r="B491" t="s">
        <v>53</v>
      </c>
      <c r="C491" t="s">
        <v>44</v>
      </c>
      <c r="D491" s="6">
        <v>37251</v>
      </c>
      <c r="E491">
        <v>23</v>
      </c>
      <c r="F491">
        <v>46720</v>
      </c>
      <c r="G491">
        <v>1</v>
      </c>
      <c r="H491">
        <v>11</v>
      </c>
      <c r="I491">
        <v>2</v>
      </c>
    </row>
    <row r="492" spans="1:9" x14ac:dyDescent="0.3">
      <c r="A492" t="s">
        <v>536</v>
      </c>
      <c r="B492" t="s">
        <v>53</v>
      </c>
      <c r="C492" t="s">
        <v>44</v>
      </c>
      <c r="D492" s="6">
        <v>33584</v>
      </c>
      <c r="E492">
        <v>11</v>
      </c>
      <c r="F492">
        <v>73200</v>
      </c>
      <c r="G492">
        <v>1</v>
      </c>
      <c r="H492">
        <v>1</v>
      </c>
      <c r="I492">
        <v>8</v>
      </c>
    </row>
    <row r="493" spans="1:9" x14ac:dyDescent="0.3">
      <c r="A493" t="s">
        <v>537</v>
      </c>
      <c r="B493" t="s">
        <v>53</v>
      </c>
      <c r="C493" t="s">
        <v>44</v>
      </c>
      <c r="D493" s="6">
        <v>36713</v>
      </c>
      <c r="E493">
        <v>26</v>
      </c>
      <c r="F493">
        <v>38000</v>
      </c>
      <c r="G493">
        <v>1</v>
      </c>
      <c r="H493">
        <v>9</v>
      </c>
      <c r="I493">
        <v>1</v>
      </c>
    </row>
    <row r="494" spans="1:9" x14ac:dyDescent="0.3">
      <c r="A494" t="s">
        <v>538</v>
      </c>
      <c r="B494" t="s">
        <v>53</v>
      </c>
      <c r="C494" t="s">
        <v>44</v>
      </c>
      <c r="D494" s="6">
        <v>32526</v>
      </c>
      <c r="E494">
        <v>28</v>
      </c>
      <c r="F494">
        <v>43680</v>
      </c>
      <c r="G494">
        <v>1</v>
      </c>
      <c r="H494">
        <v>4</v>
      </c>
      <c r="I494">
        <v>7</v>
      </c>
    </row>
    <row r="495" spans="1:9" x14ac:dyDescent="0.3">
      <c r="A495" t="s">
        <v>539</v>
      </c>
      <c r="B495" t="s">
        <v>53</v>
      </c>
      <c r="C495" t="s">
        <v>44</v>
      </c>
      <c r="D495" s="6">
        <v>32122</v>
      </c>
      <c r="E495">
        <v>12</v>
      </c>
      <c r="F495">
        <v>34720</v>
      </c>
      <c r="G495">
        <v>1</v>
      </c>
      <c r="H495">
        <v>4</v>
      </c>
      <c r="I495">
        <v>7</v>
      </c>
    </row>
    <row r="496" spans="1:9" x14ac:dyDescent="0.3">
      <c r="A496" t="s">
        <v>540</v>
      </c>
      <c r="B496" t="s">
        <v>43</v>
      </c>
      <c r="C496" t="s">
        <v>46</v>
      </c>
      <c r="D496" s="6">
        <v>29228</v>
      </c>
      <c r="E496">
        <v>11</v>
      </c>
      <c r="F496">
        <v>32940</v>
      </c>
      <c r="G496">
        <v>1</v>
      </c>
      <c r="H496">
        <v>10</v>
      </c>
      <c r="I496">
        <v>5</v>
      </c>
    </row>
    <row r="497" spans="1:9" x14ac:dyDescent="0.3">
      <c r="A497" t="s">
        <v>541</v>
      </c>
      <c r="B497" t="s">
        <v>43</v>
      </c>
      <c r="C497" t="s">
        <v>46</v>
      </c>
      <c r="D497" s="6">
        <v>30274</v>
      </c>
      <c r="E497">
        <v>31</v>
      </c>
      <c r="F497">
        <v>81000</v>
      </c>
      <c r="G497">
        <v>1</v>
      </c>
      <c r="H497">
        <v>3</v>
      </c>
      <c r="I497">
        <v>15</v>
      </c>
    </row>
    <row r="498" spans="1:9" x14ac:dyDescent="0.3">
      <c r="A498" t="s">
        <v>542</v>
      </c>
      <c r="B498" t="s">
        <v>53</v>
      </c>
      <c r="C498" t="s">
        <v>46</v>
      </c>
      <c r="D498" s="6">
        <v>35460</v>
      </c>
      <c r="E498">
        <v>6</v>
      </c>
      <c r="F498">
        <v>28000</v>
      </c>
      <c r="G498">
        <v>1</v>
      </c>
      <c r="H498">
        <v>1</v>
      </c>
      <c r="I498">
        <v>1</v>
      </c>
    </row>
    <row r="499" spans="1:9" x14ac:dyDescent="0.3">
      <c r="A499" t="s">
        <v>543</v>
      </c>
      <c r="B499" t="s">
        <v>53</v>
      </c>
      <c r="C499" t="s">
        <v>44</v>
      </c>
      <c r="D499" s="6">
        <v>33102</v>
      </c>
      <c r="E499">
        <v>31</v>
      </c>
      <c r="F499">
        <v>45360</v>
      </c>
      <c r="G499">
        <v>1</v>
      </c>
      <c r="H499">
        <v>7</v>
      </c>
      <c r="I499">
        <v>7</v>
      </c>
    </row>
    <row r="500" spans="1:9" x14ac:dyDescent="0.3">
      <c r="A500" t="s">
        <v>544</v>
      </c>
      <c r="B500" t="s">
        <v>53</v>
      </c>
      <c r="C500" t="s">
        <v>44</v>
      </c>
      <c r="D500" s="6">
        <v>33517</v>
      </c>
      <c r="E500">
        <v>33</v>
      </c>
      <c r="F500">
        <v>43160</v>
      </c>
      <c r="G500">
        <v>1</v>
      </c>
      <c r="H500">
        <v>7</v>
      </c>
      <c r="I50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CC3AE14-6B99-4150-8093-5D11CE37A273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CC3C19DC-F97B-4632-A864-16206DE5037B}">
  <ds:schemaRefs>
    <ds:schemaRef ds:uri="http://gemini/pivotcustomization/RelationshipAutoDetectionEnabled"/>
  </ds:schemaRefs>
</ds:datastoreItem>
</file>

<file path=customXml/itemProps3.xml><?xml version="1.0" encoding="utf-8"?>
<ds:datastoreItem xmlns:ds="http://schemas.openxmlformats.org/officeDocument/2006/customXml" ds:itemID="{11CCF65B-1378-432C-9780-BC1495420FE7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2D37A6AB-0209-45F6-B1F9-56568B380EF4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B1637761-47CA-436F-82C0-28320BB1107B}">
  <ds:schemaRefs>
    <ds:schemaRef ds:uri="http://gemini/pivotcustomization/TableXML_Tableau2"/>
  </ds:schemaRefs>
</ds:datastoreItem>
</file>

<file path=customXml/itemProps6.xml><?xml version="1.0" encoding="utf-8"?>
<ds:datastoreItem xmlns:ds="http://schemas.openxmlformats.org/officeDocument/2006/customXml" ds:itemID="{F2BCF341-D1C7-4333-9F6C-76F64C035223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0DA5DBA9-ED03-4D7C-89AD-C77F39A3141C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D28A85A0-4AD1-4A6E-8156-603DC73458BF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BDA12372-1741-4FC3-A4AA-7F2FE034BEE4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4C0563FF-4362-472C-89A7-718419F30CED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6CAD5F2D-F338-413C-8CDD-64D9E097FE15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47CD4E14-DC22-4B7C-925B-7C9117AD1BE8}">
  <ds:schemaRefs>
    <ds:schemaRef ds:uri="http://gemini/pivotcustomization/TableXML_Tableau3"/>
  </ds:schemaRefs>
</ds:datastoreItem>
</file>

<file path=customXml/itemProps13.xml><?xml version="1.0" encoding="utf-8"?>
<ds:datastoreItem xmlns:ds="http://schemas.openxmlformats.org/officeDocument/2006/customXml" ds:itemID="{645A99E4-9FD2-4BE3-9346-403172E4F61C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7B20A126-ACD0-40D4-AB3C-FD235C0926AE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A19CE045-6E2E-4263-90C9-DDF7819AFDCC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BC884478-CE59-47C1-9CB8-A6459D7DFF85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D8971D7D-E03A-4831-B8E7-2C73D87E1579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844D1280-96F8-4448-8398-15CA61B9F870}">
  <ds:schemaRefs>
    <ds:schemaRef ds:uri="http://gemini/pivotcustomization/TableXML_Tableau1"/>
  </ds:schemaRefs>
</ds:datastoreItem>
</file>

<file path=customXml/itemProps19.xml><?xml version="1.0" encoding="utf-8"?>
<ds:datastoreItem xmlns:ds="http://schemas.openxmlformats.org/officeDocument/2006/customXml" ds:itemID="{CD2B32EF-EB07-47EA-84D5-D266693F411F}">
  <ds:schemaRefs>
    <ds:schemaRef ds:uri="http://gemini/pivotcustomization/TableXML_Tableau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 (2)</vt:lpstr>
      <vt:lpstr>Service</vt:lpstr>
      <vt:lpstr>Contrat</vt:lpstr>
      <vt:lpstr>Poste</vt:lpstr>
      <vt:lpstr>Personnel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Boris</dc:creator>
  <cp:keywords/>
  <dc:description/>
  <cp:lastModifiedBy>Hassan EL BAHI</cp:lastModifiedBy>
  <cp:revision/>
  <dcterms:created xsi:type="dcterms:W3CDTF">2019-05-23T15:36:04Z</dcterms:created>
  <dcterms:modified xsi:type="dcterms:W3CDTF">2024-02-17T12:21:29Z</dcterms:modified>
  <cp:category/>
  <cp:contentStatus/>
</cp:coreProperties>
</file>